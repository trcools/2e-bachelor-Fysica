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stancools/Documents/VSC_macbook_tristan/2e-bachelor-semester-2/Exp-2/sterrenkunde-practicum-HR-diagram/"/>
    </mc:Choice>
  </mc:AlternateContent>
  <xr:revisionPtr revIDLastSave="0" documentId="8_{449866D5-5712-484F-BE9E-FF8F8061BEB2}" xr6:coauthVersionLast="47" xr6:coauthVersionMax="47" xr10:uidLastSave="{00000000-0000-0000-0000-000000000000}"/>
  <bookViews>
    <workbookView xWindow="0" yWindow="0" windowWidth="28800" windowHeight="18000" activeTab="3" xr2:uid="{DE206A4A-1597-2E42-B3FC-B284760E8874}"/>
  </bookViews>
  <sheets>
    <sheet name="B-band" sheetId="1" r:id="rId1"/>
    <sheet name="I-band" sheetId="2" r:id="rId2"/>
    <sheet name="Metingen Bas" sheetId="3" r:id="rId3"/>
    <sheet name="Opdracht-2-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0" i="4" l="1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R129" i="4"/>
  <c r="U129" i="4" s="1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N19" i="4"/>
  <c r="Q2" i="4"/>
  <c r="T2" i="4" s="1"/>
  <c r="Y2" i="4" s="1"/>
  <c r="Q3" i="4"/>
  <c r="T3" i="4" s="1"/>
  <c r="T77" i="4"/>
  <c r="T85" i="4"/>
  <c r="R68" i="4"/>
  <c r="U68" i="4" s="1"/>
  <c r="R69" i="4"/>
  <c r="U69" i="4" s="1"/>
  <c r="R70" i="4"/>
  <c r="U70" i="4" s="1"/>
  <c r="R71" i="4"/>
  <c r="U71" i="4" s="1"/>
  <c r="R72" i="4"/>
  <c r="U72" i="4" s="1"/>
  <c r="W72" i="4" s="1"/>
  <c r="R73" i="4"/>
  <c r="U73" i="4" s="1"/>
  <c r="R74" i="4"/>
  <c r="U74" i="4" s="1"/>
  <c r="R75" i="4"/>
  <c r="U75" i="4" s="1"/>
  <c r="R76" i="4"/>
  <c r="U76" i="4" s="1"/>
  <c r="R77" i="4"/>
  <c r="U77" i="4" s="1"/>
  <c r="W77" i="4" s="1"/>
  <c r="R78" i="4"/>
  <c r="U78" i="4" s="1"/>
  <c r="R79" i="4"/>
  <c r="U79" i="4" s="1"/>
  <c r="R80" i="4"/>
  <c r="U80" i="4" s="1"/>
  <c r="W80" i="4" s="1"/>
  <c r="R81" i="4"/>
  <c r="U81" i="4" s="1"/>
  <c r="W81" i="4" s="1"/>
  <c r="R82" i="4"/>
  <c r="U82" i="4" s="1"/>
  <c r="R83" i="4"/>
  <c r="U83" i="4" s="1"/>
  <c r="R84" i="4"/>
  <c r="U84" i="4" s="1"/>
  <c r="R85" i="4"/>
  <c r="U85" i="4" s="1"/>
  <c r="W85" i="4" s="1"/>
  <c r="R86" i="4"/>
  <c r="U86" i="4" s="1"/>
  <c r="R87" i="4"/>
  <c r="U87" i="4" s="1"/>
  <c r="R88" i="4"/>
  <c r="U88" i="4" s="1"/>
  <c r="W88" i="4" s="1"/>
  <c r="R89" i="4"/>
  <c r="U89" i="4" s="1"/>
  <c r="R90" i="4"/>
  <c r="U90" i="4" s="1"/>
  <c r="R91" i="4"/>
  <c r="U91" i="4" s="1"/>
  <c r="R92" i="4"/>
  <c r="U92" i="4" s="1"/>
  <c r="R93" i="4"/>
  <c r="U93" i="4" s="1"/>
  <c r="W93" i="4" s="1"/>
  <c r="R94" i="4"/>
  <c r="U94" i="4" s="1"/>
  <c r="R95" i="4"/>
  <c r="U95" i="4" s="1"/>
  <c r="R96" i="4"/>
  <c r="U96" i="4" s="1"/>
  <c r="W96" i="4" s="1"/>
  <c r="R97" i="4"/>
  <c r="U97" i="4" s="1"/>
  <c r="R98" i="4"/>
  <c r="U98" i="4" s="1"/>
  <c r="R99" i="4"/>
  <c r="U99" i="4" s="1"/>
  <c r="R100" i="4"/>
  <c r="U100" i="4" s="1"/>
  <c r="R101" i="4"/>
  <c r="U101" i="4" s="1"/>
  <c r="W101" i="4" s="1"/>
  <c r="R102" i="4"/>
  <c r="U102" i="4" s="1"/>
  <c r="R103" i="4"/>
  <c r="U103" i="4" s="1"/>
  <c r="R104" i="4"/>
  <c r="U104" i="4" s="1"/>
  <c r="W104" i="4" s="1"/>
  <c r="R105" i="4"/>
  <c r="U105" i="4" s="1"/>
  <c r="W105" i="4" s="1"/>
  <c r="R106" i="4"/>
  <c r="U106" i="4" s="1"/>
  <c r="R107" i="4"/>
  <c r="U107" i="4" s="1"/>
  <c r="R108" i="4"/>
  <c r="U108" i="4" s="1"/>
  <c r="R109" i="4"/>
  <c r="U109" i="4" s="1"/>
  <c r="R110" i="4"/>
  <c r="U110" i="4" s="1"/>
  <c r="R111" i="4"/>
  <c r="U111" i="4" s="1"/>
  <c r="W111" i="4" s="1"/>
  <c r="R112" i="4"/>
  <c r="U112" i="4" s="1"/>
  <c r="W112" i="4" s="1"/>
  <c r="R113" i="4"/>
  <c r="U113" i="4" s="1"/>
  <c r="R114" i="4"/>
  <c r="U114" i="4" s="1"/>
  <c r="R115" i="4"/>
  <c r="U115" i="4" s="1"/>
  <c r="R116" i="4"/>
  <c r="U116" i="4" s="1"/>
  <c r="W116" i="4" s="1"/>
  <c r="R117" i="4"/>
  <c r="U117" i="4" s="1"/>
  <c r="R118" i="4"/>
  <c r="U118" i="4" s="1"/>
  <c r="R119" i="4"/>
  <c r="U119" i="4" s="1"/>
  <c r="W119" i="4" s="1"/>
  <c r="R120" i="4"/>
  <c r="U120" i="4" s="1"/>
  <c r="W120" i="4" s="1"/>
  <c r="R121" i="4"/>
  <c r="U121" i="4" s="1"/>
  <c r="R122" i="4"/>
  <c r="U122" i="4" s="1"/>
  <c r="R123" i="4"/>
  <c r="U123" i="4" s="1"/>
  <c r="R124" i="4"/>
  <c r="U124" i="4" s="1"/>
  <c r="W124" i="4" s="1"/>
  <c r="R125" i="4"/>
  <c r="U125" i="4" s="1"/>
  <c r="R126" i="4"/>
  <c r="U126" i="4" s="1"/>
  <c r="R127" i="4"/>
  <c r="U127" i="4" s="1"/>
  <c r="W127" i="4" s="1"/>
  <c r="R128" i="4"/>
  <c r="U128" i="4" s="1"/>
  <c r="W128" i="4" s="1"/>
  <c r="Q68" i="4"/>
  <c r="T68" i="4" s="1"/>
  <c r="Q69" i="4"/>
  <c r="T69" i="4" s="1"/>
  <c r="Q70" i="4"/>
  <c r="T70" i="4" s="1"/>
  <c r="Q71" i="4"/>
  <c r="T71" i="4" s="1"/>
  <c r="Y71" i="4" s="1"/>
  <c r="Q72" i="4"/>
  <c r="T72" i="4" s="1"/>
  <c r="Q73" i="4"/>
  <c r="T73" i="4" s="1"/>
  <c r="Q74" i="4"/>
  <c r="T74" i="4" s="1"/>
  <c r="Y74" i="4" s="1"/>
  <c r="Q75" i="4"/>
  <c r="T75" i="4" s="1"/>
  <c r="Q76" i="4"/>
  <c r="T76" i="4" s="1"/>
  <c r="Q77" i="4"/>
  <c r="Q78" i="4"/>
  <c r="T78" i="4" s="1"/>
  <c r="Q79" i="4"/>
  <c r="T79" i="4" s="1"/>
  <c r="Y79" i="4" s="1"/>
  <c r="Q80" i="4"/>
  <c r="T80" i="4" s="1"/>
  <c r="Q81" i="4"/>
  <c r="T81" i="4" s="1"/>
  <c r="Q82" i="4"/>
  <c r="T82" i="4" s="1"/>
  <c r="Y82" i="4" s="1"/>
  <c r="Q83" i="4"/>
  <c r="T83" i="4" s="1"/>
  <c r="Q84" i="4"/>
  <c r="T84" i="4" s="1"/>
  <c r="Q85" i="4"/>
  <c r="Q86" i="4"/>
  <c r="T86" i="4" s="1"/>
  <c r="Q87" i="4"/>
  <c r="T87" i="4" s="1"/>
  <c r="Y87" i="4" s="1"/>
  <c r="Q88" i="4"/>
  <c r="T88" i="4" s="1"/>
  <c r="Q89" i="4"/>
  <c r="T89" i="4" s="1"/>
  <c r="Q90" i="4"/>
  <c r="T90" i="4" s="1"/>
  <c r="Y90" i="4" s="1"/>
  <c r="Q91" i="4"/>
  <c r="T91" i="4" s="1"/>
  <c r="Q92" i="4"/>
  <c r="T92" i="4" s="1"/>
  <c r="Q93" i="4"/>
  <c r="T93" i="4" s="1"/>
  <c r="Q94" i="4"/>
  <c r="T94" i="4" s="1"/>
  <c r="Q95" i="4"/>
  <c r="T95" i="4" s="1"/>
  <c r="Y95" i="4" s="1"/>
  <c r="Q96" i="4"/>
  <c r="T96" i="4" s="1"/>
  <c r="Q97" i="4"/>
  <c r="T97" i="4" s="1"/>
  <c r="Q98" i="4"/>
  <c r="T98" i="4" s="1"/>
  <c r="Y98" i="4" s="1"/>
  <c r="Q99" i="4"/>
  <c r="T99" i="4" s="1"/>
  <c r="Q100" i="4"/>
  <c r="T100" i="4" s="1"/>
  <c r="Q101" i="4"/>
  <c r="T101" i="4" s="1"/>
  <c r="Q102" i="4"/>
  <c r="T102" i="4" s="1"/>
  <c r="Q103" i="4"/>
  <c r="T103" i="4" s="1"/>
  <c r="Y103" i="4" s="1"/>
  <c r="Q104" i="4"/>
  <c r="T104" i="4" s="1"/>
  <c r="Q105" i="4"/>
  <c r="T105" i="4" s="1"/>
  <c r="Q106" i="4"/>
  <c r="T106" i="4" s="1"/>
  <c r="Y106" i="4" s="1"/>
  <c r="Q107" i="4"/>
  <c r="T107" i="4" s="1"/>
  <c r="Q108" i="4"/>
  <c r="T108" i="4" s="1"/>
  <c r="Q109" i="4"/>
  <c r="T109" i="4" s="1"/>
  <c r="Q110" i="4"/>
  <c r="T110" i="4" s="1"/>
  <c r="Q111" i="4"/>
  <c r="T111" i="4" s="1"/>
  <c r="Q112" i="4"/>
  <c r="T112" i="4" s="1"/>
  <c r="Q113" i="4"/>
  <c r="T113" i="4" s="1"/>
  <c r="Y113" i="4" s="1"/>
  <c r="Q114" i="4"/>
  <c r="T114" i="4" s="1"/>
  <c r="Y114" i="4" s="1"/>
  <c r="Q115" i="4"/>
  <c r="T115" i="4" s="1"/>
  <c r="Q116" i="4"/>
  <c r="T116" i="4" s="1"/>
  <c r="Q117" i="4"/>
  <c r="T117" i="4" s="1"/>
  <c r="Q118" i="4"/>
  <c r="T118" i="4" s="1"/>
  <c r="Q119" i="4"/>
  <c r="T119" i="4" s="1"/>
  <c r="Q120" i="4"/>
  <c r="T120" i="4" s="1"/>
  <c r="Q121" i="4"/>
  <c r="T121" i="4" s="1"/>
  <c r="Y121" i="4" s="1"/>
  <c r="Q122" i="4"/>
  <c r="T122" i="4" s="1"/>
  <c r="Y122" i="4" s="1"/>
  <c r="Q123" i="4"/>
  <c r="T123" i="4" s="1"/>
  <c r="Q124" i="4"/>
  <c r="T124" i="4" s="1"/>
  <c r="Q125" i="4"/>
  <c r="T125" i="4" s="1"/>
  <c r="Q126" i="4"/>
  <c r="T126" i="4" s="1"/>
  <c r="Q127" i="4"/>
  <c r="T127" i="4" s="1"/>
  <c r="Q128" i="4"/>
  <c r="T128" i="4" s="1"/>
  <c r="Q129" i="4"/>
  <c r="T129" i="4" s="1"/>
  <c r="U7" i="4"/>
  <c r="W7" i="4" s="1"/>
  <c r="U15" i="4"/>
  <c r="W15" i="4" s="1"/>
  <c r="U39" i="4"/>
  <c r="W39" i="4" s="1"/>
  <c r="U47" i="4"/>
  <c r="W47" i="4" s="1"/>
  <c r="U55" i="4"/>
  <c r="W55" i="4" s="1"/>
  <c r="U63" i="4"/>
  <c r="W63" i="4" s="1"/>
  <c r="T6" i="4"/>
  <c r="T14" i="4"/>
  <c r="T15" i="4"/>
  <c r="T21" i="4"/>
  <c r="Y21" i="4" s="1"/>
  <c r="T22" i="4"/>
  <c r="T23" i="4"/>
  <c r="T24" i="4"/>
  <c r="T31" i="4"/>
  <c r="T32" i="4"/>
  <c r="Y32" i="4" s="1"/>
  <c r="T37" i="4"/>
  <c r="Y37" i="4" s="1"/>
  <c r="T38" i="4"/>
  <c r="T39" i="4"/>
  <c r="Y39" i="4" s="1"/>
  <c r="T40" i="4"/>
  <c r="T47" i="4"/>
  <c r="T48" i="4"/>
  <c r="Y48" i="4" s="1"/>
  <c r="T53" i="4"/>
  <c r="Y53" i="4" s="1"/>
  <c r="T54" i="4"/>
  <c r="T55" i="4"/>
  <c r="T56" i="4"/>
  <c r="T63" i="4"/>
  <c r="T64" i="4"/>
  <c r="Y64" i="4" s="1"/>
  <c r="R3" i="4"/>
  <c r="U3" i="4" s="1"/>
  <c r="W3" i="4" s="1"/>
  <c r="R4" i="4"/>
  <c r="U4" i="4" s="1"/>
  <c r="W4" i="4" s="1"/>
  <c r="R5" i="4"/>
  <c r="U5" i="4" s="1"/>
  <c r="W5" i="4" s="1"/>
  <c r="R6" i="4"/>
  <c r="U6" i="4" s="1"/>
  <c r="W6" i="4" s="1"/>
  <c r="R7" i="4"/>
  <c r="R8" i="4"/>
  <c r="U8" i="4" s="1"/>
  <c r="W8" i="4" s="1"/>
  <c r="R9" i="4"/>
  <c r="U9" i="4" s="1"/>
  <c r="W9" i="4" s="1"/>
  <c r="R10" i="4"/>
  <c r="R11" i="4"/>
  <c r="U11" i="4" s="1"/>
  <c r="W11" i="4" s="1"/>
  <c r="R12" i="4"/>
  <c r="U12" i="4" s="1"/>
  <c r="W12" i="4" s="1"/>
  <c r="R13" i="4"/>
  <c r="U13" i="4" s="1"/>
  <c r="W13" i="4" s="1"/>
  <c r="R14" i="4"/>
  <c r="U14" i="4" s="1"/>
  <c r="W14" i="4" s="1"/>
  <c r="R15" i="4"/>
  <c r="R16" i="4"/>
  <c r="U16" i="4" s="1"/>
  <c r="W16" i="4" s="1"/>
  <c r="R17" i="4"/>
  <c r="U17" i="4" s="1"/>
  <c r="W17" i="4" s="1"/>
  <c r="R18" i="4"/>
  <c r="U18" i="4" s="1"/>
  <c r="W18" i="4" s="1"/>
  <c r="R19" i="4"/>
  <c r="U19" i="4" s="1"/>
  <c r="W19" i="4" s="1"/>
  <c r="R20" i="4"/>
  <c r="U20" i="4" s="1"/>
  <c r="W20" i="4" s="1"/>
  <c r="R21" i="4"/>
  <c r="U21" i="4" s="1"/>
  <c r="W21" i="4" s="1"/>
  <c r="R22" i="4"/>
  <c r="U22" i="4" s="1"/>
  <c r="W22" i="4" s="1"/>
  <c r="R23" i="4"/>
  <c r="U23" i="4" s="1"/>
  <c r="W23" i="4" s="1"/>
  <c r="R24" i="4"/>
  <c r="U24" i="4" s="1"/>
  <c r="W24" i="4" s="1"/>
  <c r="R25" i="4"/>
  <c r="U25" i="4" s="1"/>
  <c r="W25" i="4" s="1"/>
  <c r="R26" i="4"/>
  <c r="U26" i="4" s="1"/>
  <c r="W26" i="4" s="1"/>
  <c r="R27" i="4"/>
  <c r="U27" i="4" s="1"/>
  <c r="W27" i="4" s="1"/>
  <c r="R28" i="4"/>
  <c r="U28" i="4" s="1"/>
  <c r="W28" i="4" s="1"/>
  <c r="R29" i="4"/>
  <c r="U29" i="4" s="1"/>
  <c r="W29" i="4" s="1"/>
  <c r="R30" i="4"/>
  <c r="U30" i="4" s="1"/>
  <c r="W30" i="4" s="1"/>
  <c r="R31" i="4"/>
  <c r="U31" i="4" s="1"/>
  <c r="W31" i="4" s="1"/>
  <c r="R32" i="4"/>
  <c r="U32" i="4" s="1"/>
  <c r="W32" i="4" s="1"/>
  <c r="R33" i="4"/>
  <c r="U33" i="4" s="1"/>
  <c r="W33" i="4" s="1"/>
  <c r="R34" i="4"/>
  <c r="U34" i="4" s="1"/>
  <c r="W34" i="4" s="1"/>
  <c r="R35" i="4"/>
  <c r="U35" i="4" s="1"/>
  <c r="W35" i="4" s="1"/>
  <c r="R36" i="4"/>
  <c r="U36" i="4" s="1"/>
  <c r="W36" i="4" s="1"/>
  <c r="R37" i="4"/>
  <c r="U37" i="4" s="1"/>
  <c r="W37" i="4" s="1"/>
  <c r="R38" i="4"/>
  <c r="U38" i="4" s="1"/>
  <c r="W38" i="4" s="1"/>
  <c r="R39" i="4"/>
  <c r="R40" i="4"/>
  <c r="U40" i="4" s="1"/>
  <c r="W40" i="4" s="1"/>
  <c r="R41" i="4"/>
  <c r="U41" i="4" s="1"/>
  <c r="W41" i="4" s="1"/>
  <c r="R42" i="4"/>
  <c r="U42" i="4" s="1"/>
  <c r="W42" i="4" s="1"/>
  <c r="R43" i="4"/>
  <c r="U43" i="4" s="1"/>
  <c r="W43" i="4" s="1"/>
  <c r="R44" i="4"/>
  <c r="U44" i="4" s="1"/>
  <c r="W44" i="4" s="1"/>
  <c r="R45" i="4"/>
  <c r="U45" i="4" s="1"/>
  <c r="W45" i="4" s="1"/>
  <c r="R46" i="4"/>
  <c r="U46" i="4" s="1"/>
  <c r="W46" i="4" s="1"/>
  <c r="R47" i="4"/>
  <c r="R48" i="4"/>
  <c r="U48" i="4" s="1"/>
  <c r="W48" i="4" s="1"/>
  <c r="R49" i="4"/>
  <c r="U49" i="4" s="1"/>
  <c r="W49" i="4" s="1"/>
  <c r="R50" i="4"/>
  <c r="U50" i="4" s="1"/>
  <c r="W50" i="4" s="1"/>
  <c r="R51" i="4"/>
  <c r="U51" i="4" s="1"/>
  <c r="W51" i="4" s="1"/>
  <c r="R52" i="4"/>
  <c r="U52" i="4" s="1"/>
  <c r="W52" i="4" s="1"/>
  <c r="R53" i="4"/>
  <c r="U53" i="4" s="1"/>
  <c r="W53" i="4" s="1"/>
  <c r="R54" i="4"/>
  <c r="U54" i="4" s="1"/>
  <c r="W54" i="4" s="1"/>
  <c r="R55" i="4"/>
  <c r="R56" i="4"/>
  <c r="U56" i="4" s="1"/>
  <c r="W56" i="4" s="1"/>
  <c r="R57" i="4"/>
  <c r="U57" i="4" s="1"/>
  <c r="W57" i="4" s="1"/>
  <c r="R58" i="4"/>
  <c r="U58" i="4" s="1"/>
  <c r="W58" i="4" s="1"/>
  <c r="R59" i="4"/>
  <c r="U59" i="4" s="1"/>
  <c r="W59" i="4" s="1"/>
  <c r="R60" i="4"/>
  <c r="U60" i="4" s="1"/>
  <c r="W60" i="4" s="1"/>
  <c r="R61" i="4"/>
  <c r="U61" i="4" s="1"/>
  <c r="W61" i="4" s="1"/>
  <c r="R62" i="4"/>
  <c r="U62" i="4" s="1"/>
  <c r="W62" i="4" s="1"/>
  <c r="R63" i="4"/>
  <c r="R64" i="4"/>
  <c r="U64" i="4" s="1"/>
  <c r="W64" i="4" s="1"/>
  <c r="R65" i="4"/>
  <c r="U65" i="4" s="1"/>
  <c r="W65" i="4" s="1"/>
  <c r="R66" i="4"/>
  <c r="U66" i="4" s="1"/>
  <c r="W66" i="4" s="1"/>
  <c r="R67" i="4"/>
  <c r="U67" i="4" s="1"/>
  <c r="W67" i="4" s="1"/>
  <c r="R2" i="4"/>
  <c r="U2" i="4" s="1"/>
  <c r="W2" i="4" s="1"/>
  <c r="Q4" i="4"/>
  <c r="T4" i="4" s="1"/>
  <c r="Y4" i="4" s="1"/>
  <c r="Q5" i="4"/>
  <c r="T5" i="4" s="1"/>
  <c r="Q6" i="4"/>
  <c r="Q7" i="4"/>
  <c r="T7" i="4" s="1"/>
  <c r="Y7" i="4" s="1"/>
  <c r="Q8" i="4"/>
  <c r="T8" i="4" s="1"/>
  <c r="Y8" i="4" s="1"/>
  <c r="Q9" i="4"/>
  <c r="T9" i="4" s="1"/>
  <c r="Y9" i="4" s="1"/>
  <c r="Q10" i="4"/>
  <c r="T10" i="4" s="1"/>
  <c r="Q11" i="4"/>
  <c r="T11" i="4" s="1"/>
  <c r="Q12" i="4"/>
  <c r="T12" i="4" s="1"/>
  <c r="Y12" i="4" s="1"/>
  <c r="Q13" i="4"/>
  <c r="T13" i="4" s="1"/>
  <c r="Y13" i="4" s="1"/>
  <c r="Q14" i="4"/>
  <c r="Q15" i="4"/>
  <c r="Q16" i="4"/>
  <c r="T16" i="4" s="1"/>
  <c r="Y16" i="4" s="1"/>
  <c r="Q17" i="4"/>
  <c r="T17" i="4" s="1"/>
  <c r="Y17" i="4" s="1"/>
  <c r="Q18" i="4"/>
  <c r="T18" i="4" s="1"/>
  <c r="Q19" i="4"/>
  <c r="T19" i="4" s="1"/>
  <c r="Q20" i="4"/>
  <c r="T20" i="4" s="1"/>
  <c r="Y20" i="4" s="1"/>
  <c r="Q21" i="4"/>
  <c r="Q22" i="4"/>
  <c r="Q23" i="4"/>
  <c r="Q24" i="4"/>
  <c r="Q25" i="4"/>
  <c r="T25" i="4" s="1"/>
  <c r="Y25" i="4" s="1"/>
  <c r="Q26" i="4"/>
  <c r="T26" i="4" s="1"/>
  <c r="Q27" i="4"/>
  <c r="T27" i="4" s="1"/>
  <c r="Q28" i="4"/>
  <c r="T28" i="4" s="1"/>
  <c r="Y28" i="4" s="1"/>
  <c r="Q29" i="4"/>
  <c r="T29" i="4" s="1"/>
  <c r="Y29" i="4" s="1"/>
  <c r="Q30" i="4"/>
  <c r="T30" i="4" s="1"/>
  <c r="Y30" i="4" s="1"/>
  <c r="Q31" i="4"/>
  <c r="Q32" i="4"/>
  <c r="Q33" i="4"/>
  <c r="T33" i="4" s="1"/>
  <c r="Y33" i="4" s="1"/>
  <c r="Q34" i="4"/>
  <c r="T34" i="4" s="1"/>
  <c r="Q35" i="4"/>
  <c r="T35" i="4" s="1"/>
  <c r="Q36" i="4"/>
  <c r="T36" i="4" s="1"/>
  <c r="Y36" i="4" s="1"/>
  <c r="Q37" i="4"/>
  <c r="Q38" i="4"/>
  <c r="Q39" i="4"/>
  <c r="Q40" i="4"/>
  <c r="Q41" i="4"/>
  <c r="T41" i="4" s="1"/>
  <c r="Y41" i="4" s="1"/>
  <c r="Q42" i="4"/>
  <c r="T42" i="4" s="1"/>
  <c r="Q43" i="4"/>
  <c r="T43" i="4" s="1"/>
  <c r="Q44" i="4"/>
  <c r="T44" i="4" s="1"/>
  <c r="Y44" i="4" s="1"/>
  <c r="Q45" i="4"/>
  <c r="T45" i="4" s="1"/>
  <c r="Y45" i="4" s="1"/>
  <c r="Q46" i="4"/>
  <c r="T46" i="4" s="1"/>
  <c r="Y46" i="4" s="1"/>
  <c r="Q47" i="4"/>
  <c r="Q48" i="4"/>
  <c r="Q49" i="4"/>
  <c r="T49" i="4" s="1"/>
  <c r="Y49" i="4" s="1"/>
  <c r="Q50" i="4"/>
  <c r="T50" i="4" s="1"/>
  <c r="Q51" i="4"/>
  <c r="T51" i="4" s="1"/>
  <c r="Q52" i="4"/>
  <c r="T52" i="4" s="1"/>
  <c r="Y52" i="4" s="1"/>
  <c r="Q53" i="4"/>
  <c r="Q54" i="4"/>
  <c r="Q55" i="4"/>
  <c r="Q56" i="4"/>
  <c r="Q57" i="4"/>
  <c r="T57" i="4" s="1"/>
  <c r="Y57" i="4" s="1"/>
  <c r="Q58" i="4"/>
  <c r="T58" i="4" s="1"/>
  <c r="Q59" i="4"/>
  <c r="T59" i="4" s="1"/>
  <c r="Q60" i="4"/>
  <c r="T60" i="4" s="1"/>
  <c r="Y60" i="4" s="1"/>
  <c r="Q61" i="4"/>
  <c r="T61" i="4" s="1"/>
  <c r="Y61" i="4" s="1"/>
  <c r="Q62" i="4"/>
  <c r="T62" i="4" s="1"/>
  <c r="Y62" i="4" s="1"/>
  <c r="Q63" i="4"/>
  <c r="Q64" i="4"/>
  <c r="Q65" i="4"/>
  <c r="T65" i="4" s="1"/>
  <c r="Y65" i="4" s="1"/>
  <c r="Q66" i="4"/>
  <c r="T66" i="4" s="1"/>
  <c r="Q67" i="4"/>
  <c r="T67" i="4" s="1"/>
  <c r="G3" i="1"/>
  <c r="G6" i="1"/>
  <c r="G7" i="1"/>
  <c r="G8" i="1"/>
  <c r="G9" i="1"/>
  <c r="G11" i="1"/>
  <c r="G12" i="1"/>
  <c r="G13" i="1"/>
  <c r="G6" i="2"/>
  <c r="G8" i="2"/>
  <c r="E6" i="2"/>
  <c r="E12" i="2"/>
  <c r="C13" i="2"/>
  <c r="E13" i="2" s="1"/>
  <c r="G13" i="2" s="1"/>
  <c r="C12" i="2"/>
  <c r="C11" i="2"/>
  <c r="E11" i="2" s="1"/>
  <c r="G11" i="2" s="1"/>
  <c r="C10" i="2"/>
  <c r="E10" i="2" s="1"/>
  <c r="G10" i="2" s="1"/>
  <c r="C9" i="2"/>
  <c r="E9" i="2" s="1"/>
  <c r="G9" i="2" s="1"/>
  <c r="C8" i="2"/>
  <c r="E8" i="2" s="1"/>
  <c r="C7" i="2"/>
  <c r="C6" i="2"/>
  <c r="C5" i="2"/>
  <c r="C4" i="2"/>
  <c r="E4" i="2" s="1"/>
  <c r="C3" i="2"/>
  <c r="C4" i="1"/>
  <c r="E4" i="1" s="1"/>
  <c r="G4" i="1" s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12" i="1"/>
  <c r="C13" i="1"/>
  <c r="E13" i="1" s="1"/>
  <c r="C3" i="1"/>
  <c r="E3" i="1" s="1"/>
  <c r="Y129" i="4" l="1"/>
  <c r="Y116" i="4"/>
  <c r="Y97" i="4"/>
  <c r="Y89" i="4"/>
  <c r="Y73" i="4"/>
  <c r="Y63" i="4"/>
  <c r="Y14" i="4"/>
  <c r="Y101" i="4"/>
  <c r="W10" i="4"/>
  <c r="Y15" i="4"/>
  <c r="Y47" i="4"/>
  <c r="Y31" i="4"/>
  <c r="Y55" i="4"/>
  <c r="Y23" i="4"/>
  <c r="U10" i="4"/>
  <c r="Y10" i="4" s="1"/>
  <c r="W69" i="4"/>
  <c r="W108" i="4"/>
  <c r="Y93" i="4"/>
  <c r="Y124" i="4"/>
  <c r="Y69" i="4"/>
  <c r="Y40" i="4"/>
  <c r="Y56" i="4"/>
  <c r="Y6" i="4"/>
  <c r="Y67" i="4"/>
  <c r="Y59" i="4"/>
  <c r="Y51" i="4"/>
  <c r="Y43" i="4"/>
  <c r="Y35" i="4"/>
  <c r="Y27" i="4"/>
  <c r="Y19" i="4"/>
  <c r="Y11" i="4"/>
  <c r="Y3" i="4"/>
  <c r="Y5" i="4"/>
  <c r="Y24" i="4"/>
  <c r="Y66" i="4"/>
  <c r="Y58" i="4"/>
  <c r="Y50" i="4"/>
  <c r="Y42" i="4"/>
  <c r="Y34" i="4"/>
  <c r="Y26" i="4"/>
  <c r="Y18" i="4"/>
  <c r="Y54" i="4"/>
  <c r="Y38" i="4"/>
  <c r="Y22" i="4"/>
  <c r="Y85" i="4"/>
  <c r="Y105" i="4"/>
  <c r="Y81" i="4"/>
  <c r="W103" i="4"/>
  <c r="W95" i="4"/>
  <c r="W87" i="4"/>
  <c r="W79" i="4"/>
  <c r="W71" i="4"/>
  <c r="W97" i="4"/>
  <c r="Y128" i="4"/>
  <c r="Y120" i="4"/>
  <c r="Y112" i="4"/>
  <c r="Y104" i="4"/>
  <c r="Y96" i="4"/>
  <c r="Y88" i="4"/>
  <c r="Y80" i="4"/>
  <c r="Y72" i="4"/>
  <c r="W126" i="4"/>
  <c r="W118" i="4"/>
  <c r="W110" i="4"/>
  <c r="W102" i="4"/>
  <c r="W94" i="4"/>
  <c r="W86" i="4"/>
  <c r="W78" i="4"/>
  <c r="W70" i="4"/>
  <c r="Y108" i="4"/>
  <c r="Y77" i="4"/>
  <c r="W73" i="4"/>
  <c r="Y127" i="4"/>
  <c r="Y119" i="4"/>
  <c r="Y111" i="4"/>
  <c r="W125" i="4"/>
  <c r="W117" i="4"/>
  <c r="W109" i="4"/>
  <c r="Y126" i="4"/>
  <c r="Y118" i="4"/>
  <c r="Y110" i="4"/>
  <c r="W100" i="4"/>
  <c r="W92" i="4"/>
  <c r="W84" i="4"/>
  <c r="W76" i="4"/>
  <c r="W68" i="4"/>
  <c r="W89" i="4"/>
  <c r="W123" i="4"/>
  <c r="W115" i="4"/>
  <c r="W107" i="4"/>
  <c r="W99" i="4"/>
  <c r="W91" i="4"/>
  <c r="W83" i="4"/>
  <c r="W75" i="4"/>
  <c r="W122" i="4"/>
  <c r="W114" i="4"/>
  <c r="W106" i="4"/>
  <c r="W98" i="4"/>
  <c r="W90" i="4"/>
  <c r="W82" i="4"/>
  <c r="W74" i="4"/>
  <c r="Y107" i="4"/>
  <c r="Y99" i="4"/>
  <c r="Y91" i="4"/>
  <c r="Y83" i="4"/>
  <c r="Y75" i="4"/>
  <c r="W129" i="4"/>
  <c r="W121" i="4"/>
  <c r="W113" i="4"/>
  <c r="Y78" i="4"/>
  <c r="Y109" i="4"/>
  <c r="Y70" i="4"/>
  <c r="Y125" i="4"/>
  <c r="Y94" i="4"/>
  <c r="Y102" i="4"/>
  <c r="Y123" i="4"/>
  <c r="Y115" i="4"/>
  <c r="Y100" i="4"/>
  <c r="Y92" i="4"/>
  <c r="Y84" i="4"/>
  <c r="Y76" i="4"/>
  <c r="Y68" i="4"/>
  <c r="Y117" i="4"/>
  <c r="Y86" i="4"/>
  <c r="G14" i="2"/>
  <c r="E12" i="1"/>
  <c r="G14" i="1"/>
</calcChain>
</file>

<file path=xl/sharedStrings.xml><?xml version="1.0" encoding="utf-8"?>
<sst xmlns="http://schemas.openxmlformats.org/spreadsheetml/2006/main" count="610" uniqueCount="350">
  <si>
    <t>−2.5log10𝐹</t>
  </si>
  <si>
    <t>𝑚0=Mag B +2.5log10𝐹</t>
  </si>
  <si>
    <t>Referentie Sterren</t>
  </si>
  <si>
    <t>Ster 1</t>
  </si>
  <si>
    <t>Ster 2</t>
  </si>
  <si>
    <t>Ster 3</t>
  </si>
  <si>
    <t>Ster 4</t>
  </si>
  <si>
    <t>Ster 5</t>
  </si>
  <si>
    <t>Ster 6</t>
  </si>
  <si>
    <t>Ster 7</t>
  </si>
  <si>
    <t>Ster 8</t>
  </si>
  <si>
    <t>Ster 9</t>
  </si>
  <si>
    <t>Ster 10</t>
  </si>
  <si>
    <t>Ster 11</t>
  </si>
  <si>
    <t>B-band</t>
  </si>
  <si>
    <t>Eigen Sterren</t>
  </si>
  <si>
    <t>Mag B (gegeven referentiewaarden)</t>
  </si>
  <si>
    <t>X</t>
  </si>
  <si>
    <t>Grootste en kleinste waarden wegsmijten</t>
  </si>
  <si>
    <t>Overige waarden</t>
  </si>
  <si>
    <t>Uitmiddeling:    m_0=</t>
  </si>
  <si>
    <t>I-Band</t>
  </si>
  <si>
    <t>Mag I (gegeven referentiewaarden)</t>
  </si>
  <si>
    <t>𝑚0=Mag I +2.5log10𝐹</t>
  </si>
  <si>
    <t>F  (Source-Sky)</t>
  </si>
  <si>
    <t>F (Source-Sky)</t>
  </si>
  <si>
    <t>C5</t>
  </si>
  <si>
    <t>C4</t>
  </si>
  <si>
    <t>C3</t>
  </si>
  <si>
    <t>C2</t>
  </si>
  <si>
    <t>T1</t>
  </si>
  <si>
    <t>C6</t>
  </si>
  <si>
    <t>/</t>
  </si>
  <si>
    <t>m0 I-band</t>
  </si>
  <si>
    <t>m0 B-band</t>
  </si>
  <si>
    <t>Ster 12</t>
  </si>
  <si>
    <t>Ster 13</t>
  </si>
  <si>
    <t>Ster 14</t>
  </si>
  <si>
    <t>Ster 15</t>
  </si>
  <si>
    <t>Ster 16</t>
  </si>
  <si>
    <t>Ster 17</t>
  </si>
  <si>
    <t>Ster 18</t>
  </si>
  <si>
    <t>Ster 19</t>
  </si>
  <si>
    <t>Ster 20</t>
  </si>
  <si>
    <t>Ster 21</t>
  </si>
  <si>
    <t>Ster 22</t>
  </si>
  <si>
    <t>Ster 23</t>
  </si>
  <si>
    <t>Ster 24</t>
  </si>
  <si>
    <t>Ster 25</t>
  </si>
  <si>
    <t>Ster 26</t>
  </si>
  <si>
    <t>Ster 27</t>
  </si>
  <si>
    <t>Ster 28</t>
  </si>
  <si>
    <t>Ster 29</t>
  </si>
  <si>
    <t>Ster 30</t>
  </si>
  <si>
    <t>Ster 31</t>
  </si>
  <si>
    <t>Ster 32</t>
  </si>
  <si>
    <t>Ster 33</t>
  </si>
  <si>
    <t>Ster 34</t>
  </si>
  <si>
    <t>Ster 35</t>
  </si>
  <si>
    <t>Ster 36</t>
  </si>
  <si>
    <t>Ster 37</t>
  </si>
  <si>
    <t>Ster 38</t>
  </si>
  <si>
    <t>Ster 39</t>
  </si>
  <si>
    <t>Ster 40</t>
  </si>
  <si>
    <t>Ster 41</t>
  </si>
  <si>
    <t>Ster 42</t>
  </si>
  <si>
    <t>Ster 43</t>
  </si>
  <si>
    <t>Ster 44</t>
  </si>
  <si>
    <t>Ster 45</t>
  </si>
  <si>
    <t>Ster 46</t>
  </si>
  <si>
    <t>Ster 47</t>
  </si>
  <si>
    <t>Ster 48</t>
  </si>
  <si>
    <t>Ster 49</t>
  </si>
  <si>
    <t>Ster 50</t>
  </si>
  <si>
    <t>star_id</t>
  </si>
  <si>
    <t>star_type</t>
  </si>
  <si>
    <t>x_fits</t>
  </si>
  <si>
    <t>y_fits</t>
  </si>
  <si>
    <t>flux_B</t>
  </si>
  <si>
    <t>fluxerr_B</t>
  </si>
  <si>
    <t>snr_B</t>
  </si>
  <si>
    <t>flux_I</t>
  </si>
  <si>
    <t>fluxerr_I</t>
  </si>
  <si>
    <t>snr_I</t>
  </si>
  <si>
    <t>B_minus_I_flux_ratio</t>
  </si>
  <si>
    <t>target</t>
  </si>
  <si>
    <t>comparison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</si>
  <si>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</si>
  <si>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</si>
  <si>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</si>
  <si>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</si>
  <si>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</si>
  <si>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</si>
  <si>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</si>
  <si>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</si>
  <si>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</si>
  <si>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</si>
  <si>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</si>
  <si>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</si>
  <si>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</si>
  <si>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</si>
  <si>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</si>
  <si>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</si>
  <si>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</si>
  <si>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</si>
  <si>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</si>
  <si>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</si>
  <si>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</si>
  <si>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</si>
  <si>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</si>
  <si>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</si>
  <si>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</si>
  <si>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</si>
  <si>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</si>
  <si>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</si>
  <si>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</si>
  <si>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</si>
  <si>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</si>
  <si>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</si>
  <si>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</si>
  <si>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</si>
  <si>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</si>
  <si>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</si>
  <si>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</si>
  <si>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</si>
  <si>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</si>
  <si>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</si>
  <si>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</si>
  <si>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</si>
  <si>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</si>
  <si>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</si>
  <si>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</si>
  <si>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</si>
  <si>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</si>
  <si>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</si>
  <si>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</si>
  <si>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</si>
  <si>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</si>
  <si>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</si>
  <si>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T60</t>
  </si>
  <si>
    <t>T61</t>
  </si>
  <si>
    <t>T62</t>
  </si>
  <si>
    <t>T63</t>
  </si>
  <si>
    <t>T64</t>
  </si>
  <si>
    <t>T65</t>
  </si>
  <si>
    <t>T66</t>
  </si>
  <si>
    <t>T67</t>
  </si>
  <si>
    <t>Ster:</t>
  </si>
  <si>
    <t>Ster 51</t>
  </si>
  <si>
    <t>Ster 52</t>
  </si>
  <si>
    <t>Ster 53</t>
  </si>
  <si>
    <t>Ster 54</t>
  </si>
  <si>
    <t>Ster 55</t>
  </si>
  <si>
    <t>Ster 56</t>
  </si>
  <si>
    <t>Ster 57</t>
  </si>
  <si>
    <t>Ster 58</t>
  </si>
  <si>
    <t>Ster 59</t>
  </si>
  <si>
    <t>Ster 60</t>
  </si>
  <si>
    <t>Ster 61</t>
  </si>
  <si>
    <t>Ster 62</t>
  </si>
  <si>
    <t>Ster 63</t>
  </si>
  <si>
    <t>Ster 64</t>
  </si>
  <si>
    <t>Ster 65</t>
  </si>
  <si>
    <t>Ster 66</t>
  </si>
  <si>
    <t>Opdracht:</t>
  </si>
  <si>
    <t>m_B</t>
  </si>
  <si>
    <t>m_I</t>
  </si>
  <si>
    <t>Gegevens:</t>
  </si>
  <si>
    <t>A_B</t>
  </si>
  <si>
    <t>A_I</t>
  </si>
  <si>
    <t>d(pc)</t>
  </si>
  <si>
    <t>Afstandmodulus: μ</t>
  </si>
  <si>
    <t>m_I0</t>
  </si>
  <si>
    <t>m_B0</t>
  </si>
  <si>
    <t>m0_I</t>
  </si>
  <si>
    <t>m0_B</t>
  </si>
  <si>
    <t>Extinctiecorrectie:</t>
  </si>
  <si>
    <t>M_I</t>
  </si>
  <si>
    <t>Absolute I-magnitude:</t>
  </si>
  <si>
    <t>Kleurindex:</t>
  </si>
  <si>
    <t>(B-I)_0</t>
  </si>
  <si>
    <t>Plot:</t>
  </si>
  <si>
    <t>T68</t>
  </si>
  <si>
    <t>C60</t>
  </si>
  <si>
    <t>C61</t>
  </si>
  <si>
    <t>C62</t>
  </si>
  <si>
    <t>C63</t>
  </si>
  <si>
    <t>C64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</si>
  <si>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</si>
  <si>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</si>
  <si>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</si>
  <si>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</si>
  <si>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</si>
  <si>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</si>
  <si>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</si>
  <si>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</si>
  <si>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</si>
  <si>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</si>
  <si>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</si>
  <si>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</si>
  <si>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</si>
  <si>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</si>
  <si>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</si>
  <si>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</si>
  <si>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</si>
  <si>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</si>
  <si>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</si>
  <si>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</si>
  <si>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</si>
  <si>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</si>
  <si>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</si>
  <si>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</si>
  <si>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</si>
  <si>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</si>
  <si>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</si>
  <si>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</si>
  <si>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</si>
  <si>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</si>
  <si>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</si>
  <si>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</si>
  <si>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</si>
  <si>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</si>
  <si>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</si>
  <si>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</si>
  <si>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</si>
  <si>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</si>
  <si>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</si>
  <si>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</si>
  <si>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</si>
  <si>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</si>
  <si>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</si>
  <si>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</si>
  <si>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</si>
  <si>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</si>
  <si>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</si>
  <si>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</si>
  <si>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</si>
  <si>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</si>
  <si>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</si>
  <si>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C65</t>
  </si>
  <si>
    <t>T121</t>
  </si>
  <si>
    <t>T122</t>
  </si>
  <si>
    <t>T123</t>
  </si>
  <si>
    <t>T124</t>
  </si>
  <si>
    <t>Ster 67</t>
  </si>
  <si>
    <t>Ster 68</t>
  </si>
  <si>
    <t>Ster 69</t>
  </si>
  <si>
    <t>Ster 70</t>
  </si>
  <si>
    <t>Ster 71</t>
  </si>
  <si>
    <t>Ster 72</t>
  </si>
  <si>
    <t>Ster 73</t>
  </si>
  <si>
    <t>Ster 74</t>
  </si>
  <si>
    <t>Ster 75</t>
  </si>
  <si>
    <t>Ster 76</t>
  </si>
  <si>
    <t>Ster 77</t>
  </si>
  <si>
    <t>Ster 78</t>
  </si>
  <si>
    <t>Ster 79</t>
  </si>
  <si>
    <t>Ster 80</t>
  </si>
  <si>
    <t>Ster 81</t>
  </si>
  <si>
    <t>Ster 82</t>
  </si>
  <si>
    <t>Ster 83</t>
  </si>
  <si>
    <t>Ster 84</t>
  </si>
  <si>
    <t>Ster 85</t>
  </si>
  <si>
    <t>Ster 86</t>
  </si>
  <si>
    <t>Ster 87</t>
  </si>
  <si>
    <t>Ster 88</t>
  </si>
  <si>
    <t>Ster 89</t>
  </si>
  <si>
    <t>Ster 90</t>
  </si>
  <si>
    <t>Ster 91</t>
  </si>
  <si>
    <t>Ster 92</t>
  </si>
  <si>
    <t>Ster 93</t>
  </si>
  <si>
    <t>Ster 94</t>
  </si>
  <si>
    <t>Ster 95</t>
  </si>
  <si>
    <t>Ster 96</t>
  </si>
  <si>
    <t>Ster 97</t>
  </si>
  <si>
    <t>Ster 98</t>
  </si>
  <si>
    <t>Ster 99</t>
  </si>
  <si>
    <t>Ster 100</t>
  </si>
  <si>
    <t>Ster 101</t>
  </si>
  <si>
    <t>Ster 102</t>
  </si>
  <si>
    <t>Ster 103</t>
  </si>
  <si>
    <t>Ster 104</t>
  </si>
  <si>
    <t>Ster 105</t>
  </si>
  <si>
    <t>Ster 106</t>
  </si>
  <si>
    <t>Ster 107</t>
  </si>
  <si>
    <t>Ster 108</t>
  </si>
  <si>
    <t>Ster 109</t>
  </si>
  <si>
    <t>Ster 110</t>
  </si>
  <si>
    <t>Ster 111</t>
  </si>
  <si>
    <t>Ster 112</t>
  </si>
  <si>
    <t>Ster 113</t>
  </si>
  <si>
    <t>Ster 114</t>
  </si>
  <si>
    <t>Ster 115</t>
  </si>
  <si>
    <t>Ster 116</t>
  </si>
  <si>
    <t>Ster 117</t>
  </si>
  <si>
    <t>Ster 118</t>
  </si>
  <si>
    <t>Ster 119</t>
  </si>
  <si>
    <t>Ster 120</t>
  </si>
  <si>
    <t>Ster 121</t>
  </si>
  <si>
    <t>Ster 122</t>
  </si>
  <si>
    <t>Ster 123</t>
  </si>
  <si>
    <t>Ster 124</t>
  </si>
  <si>
    <t>Ster 125</t>
  </si>
  <si>
    <t>Ster 126</t>
  </si>
  <si>
    <t>Ster 127</t>
  </si>
  <si>
    <t>Ster 128</t>
  </si>
  <si>
    <t>Ster 129</t>
  </si>
  <si>
    <t>Ster 130</t>
  </si>
  <si>
    <t>Ster 131</t>
  </si>
  <si>
    <t>Ster 132</t>
  </si>
  <si>
    <t>Ster 133</t>
  </si>
  <si>
    <t>Ster 134</t>
  </si>
  <si>
    <t>Ster 135</t>
  </si>
  <si>
    <t>Ster 136</t>
  </si>
  <si>
    <t>Ster 137</t>
  </si>
  <si>
    <t>Ster 138</t>
  </si>
  <si>
    <t>Ster 139</t>
  </si>
  <si>
    <t>Ster 140</t>
  </si>
  <si>
    <t>Ster 141</t>
  </si>
  <si>
    <t>Ster 142</t>
  </si>
  <si>
    <t>Ster 143</t>
  </si>
  <si>
    <t>Ster 144</t>
  </si>
  <si>
    <t>Ster 145</t>
  </si>
  <si>
    <t>Ster 146</t>
  </si>
  <si>
    <t>Ster 147</t>
  </si>
  <si>
    <t>Ster 148</t>
  </si>
  <si>
    <t>Ster 149</t>
  </si>
  <si>
    <t>Ster 150</t>
  </si>
  <si>
    <t>Rode 1</t>
  </si>
  <si>
    <t>Rode 2</t>
  </si>
  <si>
    <t>Rode 3</t>
  </si>
  <si>
    <t>Rode 4</t>
  </si>
  <si>
    <t>Rode 5</t>
  </si>
  <si>
    <t>Rode 6</t>
  </si>
  <si>
    <t>Rode 7</t>
  </si>
  <si>
    <t>Rode 8</t>
  </si>
  <si>
    <t>Rode 9</t>
  </si>
  <si>
    <t>Rode 10</t>
  </si>
  <si>
    <t>Rode 11</t>
  </si>
  <si>
    <t>Rode 12</t>
  </si>
  <si>
    <t>Rode 13</t>
  </si>
  <si>
    <t>Rode 14</t>
  </si>
  <si>
    <t>Rode 15</t>
  </si>
  <si>
    <t>Rode 16</t>
  </si>
  <si>
    <t>Rode 17</t>
  </si>
  <si>
    <t>Rode 18</t>
  </si>
  <si>
    <t>Rode 19</t>
  </si>
  <si>
    <t>Rode 20</t>
  </si>
  <si>
    <t>Rode 21</t>
  </si>
  <si>
    <t>Rode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</si>
</sst>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3"/>
      <color rgb="FFABB2BF"/>
      <name val="Arial"/>
      <family val="2"/>
    </font>
    <font>
      <b/>
      <sz val="13"/>
      <color rgb="FFABB2BF"/>
      <name val="Arial"/>
      <family val="2"/>
    </font>
    <font>
      <sz val="11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3" fontId="2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4" fillId="0" borderId="8" xfId="0" applyFont="1" applyBorder="1"/>
    <xf numFmtId="0" fontId="0" fillId="0" borderId="8" xfId="0" applyBorder="1"/>
    <xf numFmtId="0" fontId="0" fillId="0" borderId="10" xfId="0" applyBorder="1"/>
    <xf numFmtId="0" fontId="0" fillId="0" borderId="0" xfId="0" applyNumberFormat="1"/>
    <xf numFmtId="0" fontId="0" fillId="0" borderId="0" xfId="0" applyBorder="1"/>
    <xf numFmtId="0" fontId="0" fillId="0" borderId="4" xfId="0" applyNumberFormat="1" applyBorder="1"/>
    <xf numFmtId="0" fontId="0" fillId="0" borderId="2" xfId="0" applyNumberFormat="1" applyBorder="1"/>
    <xf numFmtId="0" fontId="0" fillId="0" borderId="4" xfId="0" applyNumberFormat="1" applyFill="1" applyBorder="1"/>
    <xf numFmtId="0" fontId="0" fillId="0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438150</xdr:colOff>
      <xdr:row>3</xdr:row>
      <xdr:rowOff>196850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899F48-0038-1AFE-5AA8-B049C13FCA3A}"/>
            </a:ext>
          </a:extLst>
        </xdr:cNvPr>
        <xdr:cNvSpPr txBox="1"/>
      </xdr:nvSpPr>
      <xdr:spPr>
        <a:xfrm>
          <a:off x="13836650" y="806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nl-BE" sz="1100" b="0"/>
        </a:p>
      </xdr:txBody>
    </xdr:sp>
    <xdr:clientData/>
  </xdr:oneCellAnchor>
  <xdr:twoCellAnchor editAs="oneCell">
    <xdr:from>
      <xdr:col>28</xdr:col>
      <xdr:colOff>0</xdr:colOff>
      <xdr:row>2</xdr:row>
      <xdr:rowOff>0</xdr:rowOff>
    </xdr:from>
    <xdr:to>
      <xdr:col>37</xdr:col>
      <xdr:colOff>364066</xdr:colOff>
      <xdr:row>31</xdr:row>
      <xdr:rowOff>133585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2EA800C-E2A4-5447-EA79-798C29F4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94352" y="399815"/>
          <a:ext cx="7772400" cy="59309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014B-186F-D34B-9508-297427D1B0EE}">
  <dimension ref="A1:G66"/>
  <sheetViews>
    <sheetView workbookViewId="0">
      <selection activeCell="B19" sqref="B19"/>
    </sheetView>
  </sheetViews>
  <sheetFormatPr baseColWidth="10" defaultRowHeight="16" x14ac:dyDescent="0.2"/>
  <cols>
    <col min="1" max="1" width="16" bestFit="1" customWidth="1"/>
    <col min="2" max="2" width="20.83203125" bestFit="1" customWidth="1"/>
    <col min="3" max="3" width="12.83203125" bestFit="1" customWidth="1"/>
    <col min="4" max="4" width="30" bestFit="1" customWidth="1"/>
    <col min="5" max="5" width="19.1640625" bestFit="1" customWidth="1"/>
    <col min="6" max="6" width="34.83203125" bestFit="1" customWidth="1"/>
    <col min="7" max="7" width="24.6640625" bestFit="1" customWidth="1"/>
  </cols>
  <sheetData>
    <row r="1" spans="1:7" x14ac:dyDescent="0.2">
      <c r="A1" t="s">
        <v>14</v>
      </c>
    </row>
    <row r="2" spans="1:7" x14ac:dyDescent="0.2">
      <c r="A2" t="s">
        <v>2</v>
      </c>
      <c r="B2" t="s">
        <v>24</v>
      </c>
      <c r="C2" t="s">
        <v>0</v>
      </c>
      <c r="D2" t="s">
        <v>16</v>
      </c>
      <c r="E2" t="s">
        <v>1</v>
      </c>
      <c r="F2" t="s">
        <v>18</v>
      </c>
      <c r="G2" t="s">
        <v>19</v>
      </c>
    </row>
    <row r="3" spans="1:7" x14ac:dyDescent="0.2">
      <c r="A3" t="s">
        <v>3</v>
      </c>
      <c r="B3" s="1">
        <v>1148.3406029519199</v>
      </c>
      <c r="C3">
        <f>-2.5*LOG(B3)</f>
        <v>-7.6501768021305159</v>
      </c>
      <c r="D3">
        <v>13.58</v>
      </c>
      <c r="E3">
        <f>D3-C3</f>
        <v>21.230176802130515</v>
      </c>
      <c r="F3" s="3"/>
      <c r="G3">
        <f>E3</f>
        <v>21.230176802130515</v>
      </c>
    </row>
    <row r="4" spans="1:7" x14ac:dyDescent="0.2">
      <c r="A4" t="s">
        <v>4</v>
      </c>
      <c r="B4" s="1">
        <v>51751.258788622399</v>
      </c>
      <c r="C4">
        <f t="shared" ref="C4:C13" si="0">-2.5*LOG(B4)</f>
        <v>-11.784802294902281</v>
      </c>
      <c r="D4">
        <v>9.4700000000000006</v>
      </c>
      <c r="E4">
        <f t="shared" ref="E4:E13" si="1">D4-C4</f>
        <v>21.254802294902284</v>
      </c>
      <c r="F4" s="3"/>
      <c r="G4">
        <f>E4</f>
        <v>21.254802294902284</v>
      </c>
    </row>
    <row r="5" spans="1:7" x14ac:dyDescent="0.2">
      <c r="A5" t="s">
        <v>5</v>
      </c>
      <c r="B5" s="1">
        <v>11978.693676025599</v>
      </c>
      <c r="C5">
        <f t="shared" si="0"/>
        <v>-10.19602364775692</v>
      </c>
      <c r="D5">
        <v>10.91</v>
      </c>
      <c r="E5">
        <f t="shared" si="1"/>
        <v>21.106023647756921</v>
      </c>
      <c r="F5" t="s">
        <v>17</v>
      </c>
    </row>
    <row r="6" spans="1:7" x14ac:dyDescent="0.2">
      <c r="A6" t="s">
        <v>6</v>
      </c>
      <c r="B6" s="1">
        <v>13049.4876078451</v>
      </c>
      <c r="C6">
        <f t="shared" si="0"/>
        <v>-10.288983648255821</v>
      </c>
      <c r="D6">
        <v>10.9</v>
      </c>
      <c r="E6">
        <f t="shared" si="1"/>
        <v>21.188983648255821</v>
      </c>
      <c r="G6">
        <f t="shared" ref="G6:G13" si="2">E6</f>
        <v>21.188983648255821</v>
      </c>
    </row>
    <row r="7" spans="1:7" x14ac:dyDescent="0.2">
      <c r="A7" t="s">
        <v>7</v>
      </c>
      <c r="B7" s="1">
        <v>31198.730908601301</v>
      </c>
      <c r="C7">
        <f t="shared" si="0"/>
        <v>-11.235342320735107</v>
      </c>
      <c r="D7">
        <v>9.9499999999999993</v>
      </c>
      <c r="E7">
        <f t="shared" si="1"/>
        <v>21.185342320735106</v>
      </c>
      <c r="G7">
        <f t="shared" si="2"/>
        <v>21.185342320735106</v>
      </c>
    </row>
    <row r="8" spans="1:7" x14ac:dyDescent="0.2">
      <c r="A8" t="s">
        <v>8</v>
      </c>
      <c r="B8" s="1">
        <v>10918.787364013</v>
      </c>
      <c r="C8">
        <f t="shared" si="0"/>
        <v>-10.095436021205472</v>
      </c>
      <c r="D8">
        <v>11.19</v>
      </c>
      <c r="E8">
        <f t="shared" si="1"/>
        <v>21.28543602120547</v>
      </c>
      <c r="G8">
        <f t="shared" si="2"/>
        <v>21.28543602120547</v>
      </c>
    </row>
    <row r="9" spans="1:7" x14ac:dyDescent="0.2">
      <c r="A9" t="s">
        <v>9</v>
      </c>
      <c r="B9" s="1">
        <v>5846.5383241387199</v>
      </c>
      <c r="C9">
        <f t="shared" si="0"/>
        <v>-9.4172470020828563</v>
      </c>
      <c r="D9">
        <v>11.89</v>
      </c>
      <c r="E9">
        <f t="shared" si="1"/>
        <v>21.307247002082857</v>
      </c>
      <c r="G9">
        <f t="shared" si="2"/>
        <v>21.307247002082857</v>
      </c>
    </row>
    <row r="10" spans="1:7" x14ac:dyDescent="0.2">
      <c r="A10" t="s">
        <v>10</v>
      </c>
      <c r="B10" s="1">
        <v>1603.67330258534</v>
      </c>
      <c r="C10">
        <f t="shared" si="0"/>
        <v>-8.012789748187819</v>
      </c>
      <c r="D10">
        <v>13.54</v>
      </c>
      <c r="E10">
        <f t="shared" si="1"/>
        <v>21.55278974818782</v>
      </c>
      <c r="F10" t="s">
        <v>17</v>
      </c>
    </row>
    <row r="11" spans="1:7" x14ac:dyDescent="0.2">
      <c r="A11" t="s">
        <v>11</v>
      </c>
      <c r="B11" s="1">
        <v>699.755036997346</v>
      </c>
      <c r="C11">
        <f t="shared" si="0"/>
        <v>-7.1123650832520005</v>
      </c>
      <c r="D11">
        <v>14.3</v>
      </c>
      <c r="E11">
        <f t="shared" si="1"/>
        <v>21.412365083252002</v>
      </c>
      <c r="G11">
        <f t="shared" si="2"/>
        <v>21.412365083252002</v>
      </c>
    </row>
    <row r="12" spans="1:7" x14ac:dyDescent="0.2">
      <c r="A12" t="s">
        <v>12</v>
      </c>
      <c r="B12" s="1">
        <v>1064.1708908278099</v>
      </c>
      <c r="C12">
        <f t="shared" si="0"/>
        <v>-7.5675284378113652</v>
      </c>
      <c r="D12">
        <v>13.97</v>
      </c>
      <c r="E12">
        <f t="shared" si="1"/>
        <v>21.537528437811368</v>
      </c>
      <c r="G12">
        <f t="shared" si="2"/>
        <v>21.537528437811368</v>
      </c>
    </row>
    <row r="13" spans="1:7" x14ac:dyDescent="0.2">
      <c r="A13" t="s">
        <v>13</v>
      </c>
      <c r="B13" s="1">
        <v>629.67765844932296</v>
      </c>
      <c r="C13">
        <f t="shared" si="0"/>
        <v>-6.9977957110052502</v>
      </c>
      <c r="D13">
        <v>14.28</v>
      </c>
      <c r="E13">
        <f t="shared" si="1"/>
        <v>21.27779571100525</v>
      </c>
      <c r="F13" s="5"/>
      <c r="G13">
        <f t="shared" si="2"/>
        <v>21.27779571100525</v>
      </c>
    </row>
    <row r="14" spans="1:7" x14ac:dyDescent="0.2">
      <c r="F14" s="2" t="s">
        <v>20</v>
      </c>
      <c r="G14">
        <f>AVERAGE(G3:G13)</f>
        <v>21.297741924597851</v>
      </c>
    </row>
    <row r="15" spans="1:7" x14ac:dyDescent="0.2">
      <c r="A15" t="s">
        <v>15</v>
      </c>
      <c r="B15" t="s">
        <v>25</v>
      </c>
    </row>
    <row r="17" spans="1:7" x14ac:dyDescent="0.2">
      <c r="A17" t="s">
        <v>3</v>
      </c>
    </row>
    <row r="18" spans="1:7" x14ac:dyDescent="0.2">
      <c r="A18" t="s">
        <v>4</v>
      </c>
    </row>
    <row r="19" spans="1:7" x14ac:dyDescent="0.2">
      <c r="A19" t="s">
        <v>5</v>
      </c>
    </row>
    <row r="20" spans="1:7" ht="17" x14ac:dyDescent="0.2">
      <c r="A20" t="s">
        <v>6</v>
      </c>
      <c r="B20" s="4"/>
    </row>
    <row r="21" spans="1:7" ht="17" x14ac:dyDescent="0.2">
      <c r="A21" t="s">
        <v>7</v>
      </c>
      <c r="B21" s="4"/>
    </row>
    <row r="22" spans="1:7" ht="17" x14ac:dyDescent="0.2">
      <c r="A22" t="s">
        <v>8</v>
      </c>
      <c r="B22" s="4"/>
      <c r="D22" s="6"/>
      <c r="E22" s="6"/>
      <c r="F22" s="6"/>
      <c r="G22" s="6"/>
    </row>
    <row r="23" spans="1:7" ht="17" x14ac:dyDescent="0.2">
      <c r="A23" t="s">
        <v>9</v>
      </c>
      <c r="B23" s="4"/>
      <c r="D23" s="4"/>
      <c r="E23" s="4"/>
      <c r="F23" s="7"/>
      <c r="G23" s="7"/>
    </row>
    <row r="24" spans="1:7" ht="17" x14ac:dyDescent="0.2">
      <c r="A24" t="s">
        <v>10</v>
      </c>
      <c r="B24" s="4"/>
      <c r="D24" s="4"/>
      <c r="E24" s="4"/>
      <c r="F24" s="7"/>
      <c r="G24" s="7"/>
    </row>
    <row r="25" spans="1:7" ht="17" x14ac:dyDescent="0.2">
      <c r="A25" t="s">
        <v>11</v>
      </c>
      <c r="B25" s="4"/>
      <c r="D25" s="4"/>
      <c r="E25" s="4"/>
      <c r="F25" s="7"/>
      <c r="G25" s="7"/>
    </row>
    <row r="26" spans="1:7" ht="17" x14ac:dyDescent="0.2">
      <c r="A26" t="s">
        <v>12</v>
      </c>
      <c r="B26" s="4"/>
      <c r="D26" s="4"/>
      <c r="E26" s="4"/>
      <c r="F26" s="7"/>
      <c r="G26" s="7"/>
    </row>
    <row r="27" spans="1:7" ht="17" x14ac:dyDescent="0.2">
      <c r="A27" t="s">
        <v>13</v>
      </c>
      <c r="B27" s="4"/>
      <c r="D27" s="4"/>
      <c r="E27" s="4"/>
      <c r="F27" s="7"/>
      <c r="G27" s="7"/>
    </row>
    <row r="28" spans="1:7" ht="17" x14ac:dyDescent="0.2">
      <c r="A28" t="s">
        <v>35</v>
      </c>
      <c r="D28" s="4"/>
      <c r="E28" s="4"/>
      <c r="F28" s="7"/>
      <c r="G28" s="7"/>
    </row>
    <row r="29" spans="1:7" ht="17" x14ac:dyDescent="0.2">
      <c r="A29" t="s">
        <v>36</v>
      </c>
      <c r="D29" s="4"/>
      <c r="E29" s="4"/>
      <c r="F29" s="7"/>
      <c r="G29" s="7"/>
    </row>
    <row r="30" spans="1:7" ht="17" x14ac:dyDescent="0.2">
      <c r="A30" t="s">
        <v>37</v>
      </c>
      <c r="D30" s="4"/>
      <c r="E30" s="4"/>
      <c r="F30" s="7"/>
      <c r="G30" s="7"/>
    </row>
    <row r="31" spans="1:7" x14ac:dyDescent="0.2">
      <c r="A31" t="s">
        <v>38</v>
      </c>
    </row>
    <row r="32" spans="1:7" x14ac:dyDescent="0.2">
      <c r="A32" t="s">
        <v>39</v>
      </c>
    </row>
    <row r="33" spans="1:1" x14ac:dyDescent="0.2">
      <c r="A33" t="s">
        <v>40</v>
      </c>
    </row>
    <row r="34" spans="1:1" x14ac:dyDescent="0.2">
      <c r="A34" t="s">
        <v>41</v>
      </c>
    </row>
    <row r="35" spans="1:1" x14ac:dyDescent="0.2">
      <c r="A35" t="s">
        <v>42</v>
      </c>
    </row>
    <row r="36" spans="1:1" x14ac:dyDescent="0.2">
      <c r="A36" t="s">
        <v>43</v>
      </c>
    </row>
    <row r="37" spans="1:1" x14ac:dyDescent="0.2">
      <c r="A37" t="s">
        <v>44</v>
      </c>
    </row>
    <row r="38" spans="1:1" x14ac:dyDescent="0.2">
      <c r="A38" t="s">
        <v>45</v>
      </c>
    </row>
    <row r="39" spans="1:1" x14ac:dyDescent="0.2">
      <c r="A39" t="s">
        <v>46</v>
      </c>
    </row>
    <row r="40" spans="1:1" x14ac:dyDescent="0.2">
      <c r="A40" t="s">
        <v>47</v>
      </c>
    </row>
    <row r="41" spans="1:1" x14ac:dyDescent="0.2">
      <c r="A41" t="s">
        <v>48</v>
      </c>
    </row>
    <row r="42" spans="1:1" x14ac:dyDescent="0.2">
      <c r="A42" t="s">
        <v>49</v>
      </c>
    </row>
    <row r="43" spans="1:1" x14ac:dyDescent="0.2">
      <c r="A43" t="s">
        <v>50</v>
      </c>
    </row>
    <row r="44" spans="1:1" x14ac:dyDescent="0.2">
      <c r="A44" t="s">
        <v>51</v>
      </c>
    </row>
    <row r="45" spans="1:1" x14ac:dyDescent="0.2">
      <c r="A45" t="s">
        <v>52</v>
      </c>
    </row>
    <row r="46" spans="1:1" x14ac:dyDescent="0.2">
      <c r="A46" t="s">
        <v>53</v>
      </c>
    </row>
    <row r="47" spans="1:1" x14ac:dyDescent="0.2">
      <c r="A47" t="s">
        <v>54</v>
      </c>
    </row>
    <row r="48" spans="1:1" x14ac:dyDescent="0.2">
      <c r="A48" t="s">
        <v>55</v>
      </c>
    </row>
    <row r="49" spans="1:1" x14ac:dyDescent="0.2">
      <c r="A49" t="s">
        <v>56</v>
      </c>
    </row>
    <row r="50" spans="1:1" x14ac:dyDescent="0.2">
      <c r="A50" t="s">
        <v>57</v>
      </c>
    </row>
    <row r="51" spans="1:1" x14ac:dyDescent="0.2">
      <c r="A51" t="s">
        <v>58</v>
      </c>
    </row>
    <row r="52" spans="1:1" x14ac:dyDescent="0.2">
      <c r="A52" t="s">
        <v>59</v>
      </c>
    </row>
    <row r="53" spans="1:1" x14ac:dyDescent="0.2">
      <c r="A53" t="s">
        <v>60</v>
      </c>
    </row>
    <row r="54" spans="1:1" x14ac:dyDescent="0.2">
      <c r="A54" t="s">
        <v>61</v>
      </c>
    </row>
    <row r="55" spans="1:1" x14ac:dyDescent="0.2">
      <c r="A55" t="s">
        <v>62</v>
      </c>
    </row>
    <row r="56" spans="1:1" x14ac:dyDescent="0.2">
      <c r="A56" t="s">
        <v>63</v>
      </c>
    </row>
    <row r="57" spans="1:1" x14ac:dyDescent="0.2">
      <c r="A57" t="s">
        <v>64</v>
      </c>
    </row>
    <row r="58" spans="1:1" x14ac:dyDescent="0.2">
      <c r="A58" t="s">
        <v>65</v>
      </c>
    </row>
    <row r="59" spans="1:1" x14ac:dyDescent="0.2">
      <c r="A59" t="s">
        <v>66</v>
      </c>
    </row>
    <row r="60" spans="1:1" x14ac:dyDescent="0.2">
      <c r="A60" t="s">
        <v>67</v>
      </c>
    </row>
    <row r="61" spans="1:1" x14ac:dyDescent="0.2">
      <c r="A61" t="s">
        <v>68</v>
      </c>
    </row>
    <row r="62" spans="1:1" x14ac:dyDescent="0.2">
      <c r="A62" t="s">
        <v>69</v>
      </c>
    </row>
    <row r="63" spans="1:1" x14ac:dyDescent="0.2">
      <c r="A63" t="s">
        <v>70</v>
      </c>
    </row>
    <row r="64" spans="1:1" x14ac:dyDescent="0.2">
      <c r="A64" t="s">
        <v>71</v>
      </c>
    </row>
    <row r="65" spans="1:1" x14ac:dyDescent="0.2">
      <c r="A65" t="s">
        <v>72</v>
      </c>
    </row>
    <row r="66" spans="1:1" x14ac:dyDescent="0.2">
      <c r="A66" t="s">
        <v>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A795-A0DA-884C-A445-B68ADE8506CB}">
  <dimension ref="A1:G66"/>
  <sheetViews>
    <sheetView workbookViewId="0">
      <selection activeCell="E19" sqref="E19"/>
    </sheetView>
  </sheetViews>
  <sheetFormatPr baseColWidth="10" defaultRowHeight="16" x14ac:dyDescent="0.2"/>
  <cols>
    <col min="1" max="1" width="16" bestFit="1" customWidth="1"/>
    <col min="2" max="2" width="20.83203125" bestFit="1" customWidth="1"/>
    <col min="3" max="3" width="12.83203125" bestFit="1" customWidth="1"/>
    <col min="4" max="4" width="30" bestFit="1" customWidth="1"/>
    <col min="5" max="5" width="19.1640625" bestFit="1" customWidth="1"/>
    <col min="6" max="6" width="34.83203125" bestFit="1" customWidth="1"/>
    <col min="7" max="7" width="14.6640625" bestFit="1" customWidth="1"/>
  </cols>
  <sheetData>
    <row r="1" spans="1:7" x14ac:dyDescent="0.2">
      <c r="A1" t="s">
        <v>21</v>
      </c>
    </row>
    <row r="2" spans="1:7" x14ac:dyDescent="0.2">
      <c r="A2" t="s">
        <v>2</v>
      </c>
      <c r="B2" t="s">
        <v>25</v>
      </c>
      <c r="C2" t="s">
        <v>0</v>
      </c>
      <c r="D2" t="s">
        <v>22</v>
      </c>
      <c r="E2" t="s">
        <v>23</v>
      </c>
      <c r="F2" t="s">
        <v>18</v>
      </c>
      <c r="G2" t="s">
        <v>19</v>
      </c>
    </row>
    <row r="3" spans="1:7" x14ac:dyDescent="0.2">
      <c r="A3" t="s">
        <v>3</v>
      </c>
      <c r="B3" s="1">
        <v>1222.7494230136899</v>
      </c>
      <c r="C3">
        <f>-2.5*LOG(B3)</f>
        <v>-7.7183436664003828</v>
      </c>
      <c r="D3" t="s">
        <v>32</v>
      </c>
    </row>
    <row r="4" spans="1:7" x14ac:dyDescent="0.2">
      <c r="A4" t="s">
        <v>4</v>
      </c>
      <c r="B4" s="1">
        <v>43989.739650037103</v>
      </c>
      <c r="C4">
        <f t="shared" ref="C4:C13" si="0">-2.5*LOG(B4)</f>
        <v>-11.608378479113171</v>
      </c>
      <c r="D4">
        <v>7.7</v>
      </c>
      <c r="E4">
        <f t="shared" ref="E4:E13" si="1">D4-C4</f>
        <v>19.30837847911317</v>
      </c>
      <c r="F4" s="3" t="s">
        <v>17</v>
      </c>
    </row>
    <row r="5" spans="1:7" x14ac:dyDescent="0.2">
      <c r="A5" t="s">
        <v>5</v>
      </c>
      <c r="B5" s="1">
        <v>8764.7467552348608</v>
      </c>
      <c r="C5">
        <f t="shared" si="0"/>
        <v>-9.8568484307399782</v>
      </c>
      <c r="D5" t="s">
        <v>32</v>
      </c>
    </row>
    <row r="6" spans="1:7" x14ac:dyDescent="0.2">
      <c r="A6" t="s">
        <v>6</v>
      </c>
      <c r="B6" s="1">
        <v>9486.9043084201894</v>
      </c>
      <c r="C6">
        <f t="shared" si="0"/>
        <v>-9.9428113000090299</v>
      </c>
      <c r="D6">
        <v>10.37</v>
      </c>
      <c r="E6">
        <f t="shared" si="1"/>
        <v>20.312811300009031</v>
      </c>
      <c r="G6">
        <f t="shared" ref="G6:G11" si="2">E6</f>
        <v>20.312811300009031</v>
      </c>
    </row>
    <row r="7" spans="1:7" x14ac:dyDescent="0.2">
      <c r="A7" t="s">
        <v>7</v>
      </c>
      <c r="B7" s="1">
        <v>23711.216807100998</v>
      </c>
      <c r="C7">
        <f t="shared" si="0"/>
        <v>-10.93738460395114</v>
      </c>
      <c r="D7" t="s">
        <v>32</v>
      </c>
    </row>
    <row r="8" spans="1:7" x14ac:dyDescent="0.2">
      <c r="A8" t="s">
        <v>8</v>
      </c>
      <c r="B8" s="1">
        <v>9257.2150551184295</v>
      </c>
      <c r="C8">
        <f t="shared" si="0"/>
        <v>-9.9162008824425723</v>
      </c>
      <c r="D8">
        <v>10.42</v>
      </c>
      <c r="E8">
        <f t="shared" si="1"/>
        <v>20.336200882442572</v>
      </c>
      <c r="G8">
        <f t="shared" si="2"/>
        <v>20.336200882442572</v>
      </c>
    </row>
    <row r="9" spans="1:7" x14ac:dyDescent="0.2">
      <c r="A9" t="s">
        <v>9</v>
      </c>
      <c r="B9" s="1">
        <v>5249.3845407219696</v>
      </c>
      <c r="C9">
        <f t="shared" si="0"/>
        <v>-9.3002709698307058</v>
      </c>
      <c r="D9">
        <v>11.05</v>
      </c>
      <c r="E9">
        <f t="shared" si="1"/>
        <v>20.350270969830706</v>
      </c>
      <c r="G9">
        <f t="shared" si="2"/>
        <v>20.350270969830706</v>
      </c>
    </row>
    <row r="10" spans="1:7" x14ac:dyDescent="0.2">
      <c r="A10" t="s">
        <v>10</v>
      </c>
      <c r="B10" s="1">
        <v>1547.07415339007</v>
      </c>
      <c r="C10">
        <f t="shared" si="0"/>
        <v>-7.973777826323901</v>
      </c>
      <c r="D10">
        <v>12.38</v>
      </c>
      <c r="E10">
        <f t="shared" si="1"/>
        <v>20.353777826323903</v>
      </c>
      <c r="G10">
        <f t="shared" si="2"/>
        <v>20.353777826323903</v>
      </c>
    </row>
    <row r="11" spans="1:7" x14ac:dyDescent="0.2">
      <c r="A11" t="s">
        <v>11</v>
      </c>
      <c r="B11" s="1">
        <v>690.44421414659803</v>
      </c>
      <c r="C11">
        <f t="shared" si="0"/>
        <v>-7.0978214865515454</v>
      </c>
      <c r="D11">
        <v>13.31</v>
      </c>
      <c r="E11">
        <f t="shared" si="1"/>
        <v>20.407821486551548</v>
      </c>
      <c r="G11">
        <f t="shared" si="2"/>
        <v>20.407821486551548</v>
      </c>
    </row>
    <row r="12" spans="1:7" x14ac:dyDescent="0.2">
      <c r="A12" t="s">
        <v>12</v>
      </c>
      <c r="B12" s="1">
        <v>1076.8356770836499</v>
      </c>
      <c r="C12">
        <f t="shared" si="0"/>
        <v>-7.580373589766344</v>
      </c>
      <c r="D12">
        <v>13.13</v>
      </c>
      <c r="E12">
        <f t="shared" si="1"/>
        <v>20.710373589766345</v>
      </c>
      <c r="F12" s="3" t="s">
        <v>17</v>
      </c>
    </row>
    <row r="13" spans="1:7" x14ac:dyDescent="0.2">
      <c r="A13" t="s">
        <v>13</v>
      </c>
      <c r="B13" s="1">
        <v>644.22135251701195</v>
      </c>
      <c r="C13">
        <f t="shared" si="0"/>
        <v>-7.0225877881954881</v>
      </c>
      <c r="D13">
        <v>13.34</v>
      </c>
      <c r="E13">
        <f t="shared" si="1"/>
        <v>20.362587788195487</v>
      </c>
      <c r="F13" s="3"/>
      <c r="G13">
        <f>E13</f>
        <v>20.362587788195487</v>
      </c>
    </row>
    <row r="14" spans="1:7" x14ac:dyDescent="0.2">
      <c r="F14" s="2" t="s">
        <v>20</v>
      </c>
      <c r="G14">
        <f>AVERAGE(G3:G13)</f>
        <v>20.353911708892205</v>
      </c>
    </row>
    <row r="15" spans="1:7" x14ac:dyDescent="0.2">
      <c r="A15" t="s">
        <v>15</v>
      </c>
    </row>
    <row r="17" spans="1:1" x14ac:dyDescent="0.2">
      <c r="A17" t="s">
        <v>3</v>
      </c>
    </row>
    <row r="18" spans="1:1" x14ac:dyDescent="0.2">
      <c r="A18" t="s">
        <v>4</v>
      </c>
    </row>
    <row r="19" spans="1:1" x14ac:dyDescent="0.2">
      <c r="A19" t="s">
        <v>5</v>
      </c>
    </row>
    <row r="20" spans="1:1" x14ac:dyDescent="0.2">
      <c r="A20" t="s">
        <v>6</v>
      </c>
    </row>
    <row r="21" spans="1:1" x14ac:dyDescent="0.2">
      <c r="A21" t="s">
        <v>7</v>
      </c>
    </row>
    <row r="22" spans="1:1" x14ac:dyDescent="0.2">
      <c r="A22" t="s">
        <v>8</v>
      </c>
    </row>
    <row r="23" spans="1:1" x14ac:dyDescent="0.2">
      <c r="A23" t="s">
        <v>9</v>
      </c>
    </row>
    <row r="24" spans="1:1" x14ac:dyDescent="0.2">
      <c r="A24" t="s">
        <v>10</v>
      </c>
    </row>
    <row r="25" spans="1:1" x14ac:dyDescent="0.2">
      <c r="A25" t="s">
        <v>11</v>
      </c>
    </row>
    <row r="26" spans="1:1" x14ac:dyDescent="0.2">
      <c r="A26" t="s">
        <v>12</v>
      </c>
    </row>
    <row r="27" spans="1:1" x14ac:dyDescent="0.2">
      <c r="A27" t="s">
        <v>13</v>
      </c>
    </row>
    <row r="28" spans="1:1" x14ac:dyDescent="0.2">
      <c r="A28" t="s">
        <v>35</v>
      </c>
    </row>
    <row r="29" spans="1:1" x14ac:dyDescent="0.2">
      <c r="A29" t="s">
        <v>36</v>
      </c>
    </row>
    <row r="30" spans="1:1" x14ac:dyDescent="0.2">
      <c r="A30" t="s">
        <v>37</v>
      </c>
    </row>
    <row r="31" spans="1:1" x14ac:dyDescent="0.2">
      <c r="A31" t="s">
        <v>38</v>
      </c>
    </row>
    <row r="32" spans="1:1" x14ac:dyDescent="0.2">
      <c r="A32" t="s">
        <v>39</v>
      </c>
    </row>
    <row r="33" spans="1:1" x14ac:dyDescent="0.2">
      <c r="A33" t="s">
        <v>40</v>
      </c>
    </row>
    <row r="34" spans="1:1" x14ac:dyDescent="0.2">
      <c r="A34" t="s">
        <v>41</v>
      </c>
    </row>
    <row r="35" spans="1:1" x14ac:dyDescent="0.2">
      <c r="A35" t="s">
        <v>42</v>
      </c>
    </row>
    <row r="36" spans="1:1" x14ac:dyDescent="0.2">
      <c r="A36" t="s">
        <v>43</v>
      </c>
    </row>
    <row r="37" spans="1:1" x14ac:dyDescent="0.2">
      <c r="A37" t="s">
        <v>44</v>
      </c>
    </row>
    <row r="38" spans="1:1" x14ac:dyDescent="0.2">
      <c r="A38" t="s">
        <v>45</v>
      </c>
    </row>
    <row r="39" spans="1:1" x14ac:dyDescent="0.2">
      <c r="A39" t="s">
        <v>46</v>
      </c>
    </row>
    <row r="40" spans="1:1" x14ac:dyDescent="0.2">
      <c r="A40" t="s">
        <v>47</v>
      </c>
    </row>
    <row r="41" spans="1:1" x14ac:dyDescent="0.2">
      <c r="A41" t="s">
        <v>48</v>
      </c>
    </row>
    <row r="42" spans="1:1" x14ac:dyDescent="0.2">
      <c r="A42" t="s">
        <v>49</v>
      </c>
    </row>
    <row r="43" spans="1:1" x14ac:dyDescent="0.2">
      <c r="A43" t="s">
        <v>50</v>
      </c>
    </row>
    <row r="44" spans="1:1" x14ac:dyDescent="0.2">
      <c r="A44" t="s">
        <v>51</v>
      </c>
    </row>
    <row r="45" spans="1:1" x14ac:dyDescent="0.2">
      <c r="A45" t="s">
        <v>52</v>
      </c>
    </row>
    <row r="46" spans="1:1" x14ac:dyDescent="0.2">
      <c r="A46" t="s">
        <v>53</v>
      </c>
    </row>
    <row r="47" spans="1:1" x14ac:dyDescent="0.2">
      <c r="A47" t="s">
        <v>54</v>
      </c>
    </row>
    <row r="48" spans="1:1" x14ac:dyDescent="0.2">
      <c r="A48" t="s">
        <v>55</v>
      </c>
    </row>
    <row r="49" spans="1:1" x14ac:dyDescent="0.2">
      <c r="A49" t="s">
        <v>56</v>
      </c>
    </row>
    <row r="50" spans="1:1" x14ac:dyDescent="0.2">
      <c r="A50" t="s">
        <v>57</v>
      </c>
    </row>
    <row r="51" spans="1:1" x14ac:dyDescent="0.2">
      <c r="A51" t="s">
        <v>58</v>
      </c>
    </row>
    <row r="52" spans="1:1" x14ac:dyDescent="0.2">
      <c r="A52" t="s">
        <v>59</v>
      </c>
    </row>
    <row r="53" spans="1:1" x14ac:dyDescent="0.2">
      <c r="A53" t="s">
        <v>60</v>
      </c>
    </row>
    <row r="54" spans="1:1" x14ac:dyDescent="0.2">
      <c r="A54" t="s">
        <v>61</v>
      </c>
    </row>
    <row r="55" spans="1:1" x14ac:dyDescent="0.2">
      <c r="A55" t="s">
        <v>62</v>
      </c>
    </row>
    <row r="56" spans="1:1" x14ac:dyDescent="0.2">
      <c r="A56" t="s">
        <v>63</v>
      </c>
    </row>
    <row r="57" spans="1:1" x14ac:dyDescent="0.2">
      <c r="A57" t="s">
        <v>64</v>
      </c>
    </row>
    <row r="58" spans="1:1" x14ac:dyDescent="0.2">
      <c r="A58" t="s">
        <v>65</v>
      </c>
    </row>
    <row r="59" spans="1:1" x14ac:dyDescent="0.2">
      <c r="A59" t="s">
        <v>66</v>
      </c>
    </row>
    <row r="60" spans="1:1" x14ac:dyDescent="0.2">
      <c r="A60" t="s">
        <v>67</v>
      </c>
    </row>
    <row r="61" spans="1:1" x14ac:dyDescent="0.2">
      <c r="A61" t="s">
        <v>68</v>
      </c>
    </row>
    <row r="62" spans="1:1" x14ac:dyDescent="0.2">
      <c r="A62" t="s">
        <v>69</v>
      </c>
    </row>
    <row r="63" spans="1:1" x14ac:dyDescent="0.2">
      <c r="A63" t="s">
        <v>70</v>
      </c>
    </row>
    <row r="64" spans="1:1" x14ac:dyDescent="0.2">
      <c r="A64" t="s">
        <v>71</v>
      </c>
    </row>
    <row r="65" spans="1:1" x14ac:dyDescent="0.2">
      <c r="A65" t="s">
        <v>72</v>
      </c>
    </row>
    <row r="66" spans="1:1" x14ac:dyDescent="0.2">
      <c r="A66" t="s">
        <v>73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1641-678E-4526-BB14-A95FFDF99688}">
  <dimension ref="A1:C2"/>
  <sheetViews>
    <sheetView workbookViewId="0">
      <selection activeCell="C12" sqref="C12"/>
    </sheetView>
  </sheetViews>
  <sheetFormatPr baseColWidth="10" defaultRowHeight="16" x14ac:dyDescent="0.2"/>
  <sheetData>
    <row r="1" spans="1:3" x14ac:dyDescent="0.2">
      <c r="A1" t="s">
        <v>33</v>
      </c>
      <c r="C1">
        <v>20.353911708892205</v>
      </c>
    </row>
    <row r="2" spans="1:3" x14ac:dyDescent="0.2">
      <c r="A2" t="s">
        <v>34</v>
      </c>
      <c r="C2">
        <v>21.314502022687741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28B7-D8F5-104C-A27A-BDB2ABFF614E}">
  <dimension ref="A1:AA154"/>
  <sheetViews>
    <sheetView tabSelected="1" zoomScale="47" zoomScaleNormal="47" workbookViewId="0">
      <selection activeCell="AE49" sqref="AE49"/>
    </sheetView>
  </sheetViews>
  <sheetFormatPr baseColWidth="10" defaultRowHeight="16" x14ac:dyDescent="0.2"/>
  <cols>
    <col min="2" max="2" width="6.6640625" bestFit="1" customWidth="1"/>
    <col min="3" max="3" width="10.6640625" bestFit="1" customWidth="1"/>
    <col min="4" max="5" width="12.1640625" bestFit="1" customWidth="1"/>
    <col min="6" max="6" width="20.83203125" bestFit="1" customWidth="1"/>
    <col min="7" max="11" width="12.1640625" bestFit="1" customWidth="1"/>
    <col min="12" max="12" width="17.83203125" bestFit="1" customWidth="1"/>
    <col min="13" max="13" width="7.1640625" customWidth="1"/>
    <col min="14" max="14" width="17.83203125" bestFit="1" customWidth="1"/>
    <col min="15" max="15" width="6" customWidth="1"/>
    <col min="17" max="18" width="12.1640625" bestFit="1" customWidth="1"/>
    <col min="19" max="19" width="16.5" bestFit="1" customWidth="1"/>
    <col min="20" max="21" width="12.1640625" bestFit="1" customWidth="1"/>
    <col min="22" max="22" width="18.83203125" bestFit="1" customWidth="1"/>
    <col min="23" max="23" width="12.83203125" bestFit="1" customWidth="1"/>
    <col min="24" max="24" width="10.1640625" bestFit="1" customWidth="1"/>
    <col min="25" max="25" width="12.83203125" bestFit="1" customWidth="1"/>
    <col min="27" max="27" width="4.83203125" bestFit="1" customWidth="1"/>
    <col min="28" max="28" width="7" bestFit="1" customWidth="1"/>
  </cols>
  <sheetData>
    <row r="1" spans="1:27" x14ac:dyDescent="0.2">
      <c r="A1" s="11" t="s">
        <v>147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N1" s="13" t="s">
        <v>167</v>
      </c>
      <c r="P1" s="15" t="s">
        <v>164</v>
      </c>
      <c r="Q1" s="16" t="s">
        <v>165</v>
      </c>
      <c r="R1" s="16" t="s">
        <v>166</v>
      </c>
      <c r="S1" s="13" t="s">
        <v>176</v>
      </c>
      <c r="T1" s="17" t="s">
        <v>173</v>
      </c>
      <c r="U1" s="17" t="s">
        <v>172</v>
      </c>
      <c r="V1" s="13" t="s">
        <v>178</v>
      </c>
      <c r="W1" s="18" t="s">
        <v>177</v>
      </c>
      <c r="X1" s="13" t="s">
        <v>179</v>
      </c>
      <c r="Y1" s="13" t="s">
        <v>180</v>
      </c>
      <c r="AA1" t="s">
        <v>181</v>
      </c>
    </row>
    <row r="2" spans="1:27" x14ac:dyDescent="0.2">
      <c r="A2" s="12" t="s">
        <v>3</v>
      </c>
      <c r="B2" s="10" t="s">
        <v>30</v>
      </c>
      <c r="C2" s="10" t="s">
        <v>85</v>
      </c>
      <c r="D2" s="10">
        <v>351.43865252956198</v>
      </c>
      <c r="E2" s="10">
        <v>151.518597127178</v>
      </c>
      <c r="F2" s="14">
        <v>48922.928659828998</v>
      </c>
      <c r="G2" s="10">
        <v>231.64102365820699</v>
      </c>
      <c r="H2" s="10">
        <v>211.20148705617899</v>
      </c>
      <c r="I2" s="14">
        <v>45028.440454744203</v>
      </c>
      <c r="J2" s="10">
        <v>216.81773040027599</v>
      </c>
      <c r="K2" s="10">
        <v>207.67877410954901</v>
      </c>
      <c r="L2" s="10">
        <v>1.0864895200845099</v>
      </c>
      <c r="N2" s="9"/>
      <c r="P2" s="11"/>
      <c r="Q2">
        <f>$N$7-2.5*LOG10(F2)</f>
        <v>9.590720904703705</v>
      </c>
      <c r="R2">
        <f>$N$4-2.5*LOG10(I2)</f>
        <v>8.7201944449507742</v>
      </c>
      <c r="S2" s="9"/>
      <c r="T2">
        <f>Q2-$N$10</f>
        <v>7.4287209047037051</v>
      </c>
      <c r="U2">
        <f>R2-$N$13</f>
        <v>7.8221944449507745</v>
      </c>
      <c r="V2" s="9"/>
      <c r="W2">
        <f>U2-$N$19</f>
        <v>-4.014585160179319</v>
      </c>
      <c r="X2" s="9"/>
      <c r="Y2" s="9">
        <f>T2-U2</f>
        <v>-0.39347354024706949</v>
      </c>
    </row>
    <row r="3" spans="1:27" x14ac:dyDescent="0.2">
      <c r="A3" s="11" t="s">
        <v>4</v>
      </c>
      <c r="B3" t="s">
        <v>29</v>
      </c>
      <c r="C3" t="s">
        <v>86</v>
      </c>
      <c r="D3">
        <v>421.92349820033502</v>
      </c>
      <c r="E3">
        <v>122.502082505476</v>
      </c>
      <c r="F3" s="9">
        <v>43493.009799399697</v>
      </c>
      <c r="G3">
        <v>220.09542708754199</v>
      </c>
      <c r="H3">
        <v>197.60978396929701</v>
      </c>
      <c r="I3" s="9">
        <v>37184.538583113397</v>
      </c>
      <c r="J3">
        <v>198.193451166335</v>
      </c>
      <c r="K3">
        <v>187.617392826496</v>
      </c>
      <c r="L3">
        <v>1.1696530723969001</v>
      </c>
      <c r="N3" s="14" t="s">
        <v>174</v>
      </c>
      <c r="P3" s="11"/>
      <c r="Q3">
        <f>$N$7-2.5*LOG10(F3)</f>
        <v>9.7184533659041659</v>
      </c>
      <c r="R3">
        <f t="shared" ref="R3:R68" si="0">$N$4-2.5*LOG10(I3)</f>
        <v>8.9280057169736953</v>
      </c>
      <c r="S3" s="9"/>
      <c r="T3">
        <f t="shared" ref="T3:T68" si="1">Q3-$N$10</f>
        <v>7.5564533659041659</v>
      </c>
      <c r="U3">
        <f>R3-$N$13</f>
        <v>8.0300057169736956</v>
      </c>
      <c r="V3" s="9"/>
      <c r="W3">
        <f t="shared" ref="W3:W68" si="2">U3-$N$19</f>
        <v>-3.8067738881563979</v>
      </c>
      <c r="X3" s="9"/>
      <c r="Y3" s="9">
        <f t="shared" ref="Y3:Y66" si="3">T3-U3</f>
        <v>-0.47355235106952964</v>
      </c>
    </row>
    <row r="4" spans="1:27" x14ac:dyDescent="0.2">
      <c r="A4" s="11" t="s">
        <v>5</v>
      </c>
      <c r="B4" t="s">
        <v>28</v>
      </c>
      <c r="C4" t="s">
        <v>86</v>
      </c>
      <c r="D4">
        <v>433.90094955619702</v>
      </c>
      <c r="E4">
        <v>150.74583691365399</v>
      </c>
      <c r="F4" s="9">
        <v>56822.229171735496</v>
      </c>
      <c r="G4">
        <v>248.26802257373899</v>
      </c>
      <c r="H4">
        <v>228.87453882570901</v>
      </c>
      <c r="I4" s="9">
        <v>48057.938077132698</v>
      </c>
      <c r="J4">
        <v>223.75012406589801</v>
      </c>
      <c r="K4">
        <v>214.78396169728401</v>
      </c>
      <c r="L4">
        <v>1.18236927020331</v>
      </c>
      <c r="N4" s="13">
        <v>20.353911708892205</v>
      </c>
      <c r="P4" s="11"/>
      <c r="Q4">
        <f t="shared" ref="Q4:Q68" si="4">$N$7-2.5*LOG10(F4)</f>
        <v>9.4282063542717598</v>
      </c>
      <c r="R4">
        <f t="shared" si="0"/>
        <v>8.6494988751680602</v>
      </c>
      <c r="S4" s="9"/>
      <c r="T4">
        <f t="shared" si="1"/>
        <v>7.2662063542717599</v>
      </c>
      <c r="U4">
        <f t="shared" ref="U4:U67" si="5">R4-$N$13</f>
        <v>7.7514988751680605</v>
      </c>
      <c r="V4" s="9"/>
      <c r="W4">
        <f t="shared" si="2"/>
        <v>-4.0852807299620331</v>
      </c>
      <c r="X4" s="9"/>
      <c r="Y4" s="9">
        <f t="shared" si="3"/>
        <v>-0.48529252089630059</v>
      </c>
    </row>
    <row r="5" spans="1:27" x14ac:dyDescent="0.2">
      <c r="A5" s="11" t="s">
        <v>6</v>
      </c>
      <c r="B5" t="s">
        <v>27</v>
      </c>
      <c r="C5" t="s">
        <v>86</v>
      </c>
      <c r="D5">
        <v>109.524785722674</v>
      </c>
      <c r="E5">
        <v>19.253906701848098</v>
      </c>
      <c r="F5" s="9">
        <v>51745.703707176297</v>
      </c>
      <c r="G5">
        <v>237.40813990771201</v>
      </c>
      <c r="H5">
        <v>217.960949979606</v>
      </c>
      <c r="I5" s="9">
        <v>43999.2142297885</v>
      </c>
      <c r="J5">
        <v>214.32063185348699</v>
      </c>
      <c r="K5">
        <v>205.296213664893</v>
      </c>
      <c r="L5">
        <v>1.17605972317894</v>
      </c>
      <c r="N5" s="9"/>
      <c r="P5" s="11"/>
      <c r="Q5">
        <f t="shared" si="4"/>
        <v>9.5298162790910581</v>
      </c>
      <c r="R5">
        <f t="shared" si="0"/>
        <v>8.7452994073764003</v>
      </c>
      <c r="S5" s="9"/>
      <c r="T5">
        <f t="shared" si="1"/>
        <v>7.3678162790910582</v>
      </c>
      <c r="U5">
        <f t="shared" si="5"/>
        <v>7.8472994073764006</v>
      </c>
      <c r="V5" s="9"/>
      <c r="W5">
        <f t="shared" si="2"/>
        <v>-3.9894801977536929</v>
      </c>
      <c r="X5" s="9"/>
      <c r="Y5" s="9">
        <f t="shared" si="3"/>
        <v>-0.47948312828534245</v>
      </c>
    </row>
    <row r="6" spans="1:27" x14ac:dyDescent="0.2">
      <c r="A6" s="11" t="s">
        <v>7</v>
      </c>
      <c r="B6" t="s">
        <v>26</v>
      </c>
      <c r="C6" t="s">
        <v>86</v>
      </c>
      <c r="D6">
        <v>445.10641331947397</v>
      </c>
      <c r="E6">
        <v>13.009943059812599</v>
      </c>
      <c r="F6" s="9">
        <v>30921.006559489899</v>
      </c>
      <c r="G6">
        <v>188.87262214057</v>
      </c>
      <c r="H6">
        <v>163.71354518748899</v>
      </c>
      <c r="I6" s="9">
        <v>38451.111743659203</v>
      </c>
      <c r="J6">
        <v>201.26931405194799</v>
      </c>
      <c r="K6">
        <v>191.04309032292301</v>
      </c>
      <c r="L6">
        <v>0.80416417516429795</v>
      </c>
      <c r="N6" s="14" t="s">
        <v>175</v>
      </c>
      <c r="P6" s="11"/>
      <c r="Q6">
        <f t="shared" si="4"/>
        <v>10.088867965448719</v>
      </c>
      <c r="R6">
        <f t="shared" si="0"/>
        <v>8.8916394560156533</v>
      </c>
      <c r="S6" s="9"/>
      <c r="T6">
        <f t="shared" si="1"/>
        <v>7.9268679654487189</v>
      </c>
      <c r="U6">
        <f t="shared" si="5"/>
        <v>7.9936394560156536</v>
      </c>
      <c r="V6" s="9"/>
      <c r="W6">
        <f t="shared" si="2"/>
        <v>-3.8431401491144399</v>
      </c>
      <c r="X6" s="9"/>
      <c r="Y6" s="9">
        <f t="shared" si="3"/>
        <v>-6.6771490566934766E-2</v>
      </c>
    </row>
    <row r="7" spans="1:27" x14ac:dyDescent="0.2">
      <c r="A7" s="11" t="s">
        <v>8</v>
      </c>
      <c r="B7" t="s">
        <v>31</v>
      </c>
      <c r="C7" t="s">
        <v>86</v>
      </c>
      <c r="D7">
        <v>76.961196459922405</v>
      </c>
      <c r="E7">
        <v>289.581652927709</v>
      </c>
      <c r="F7" s="9">
        <v>22849.187638683899</v>
      </c>
      <c r="G7">
        <v>166.42828671800001</v>
      </c>
      <c r="H7">
        <v>137.291491063655</v>
      </c>
      <c r="I7" s="9">
        <v>20014.602281926</v>
      </c>
      <c r="J7">
        <v>148.328916430541</v>
      </c>
      <c r="K7">
        <v>134.93392093441301</v>
      </c>
      <c r="L7">
        <v>1.1416258647976001</v>
      </c>
      <c r="N7" s="13">
        <v>21.314502022687741</v>
      </c>
      <c r="P7" s="11"/>
      <c r="Q7">
        <f t="shared" si="4"/>
        <v>10.417325112363272</v>
      </c>
      <c r="R7">
        <f t="shared" si="0"/>
        <v>9.6005442976683657</v>
      </c>
      <c r="S7" s="9"/>
      <c r="T7">
        <f t="shared" si="1"/>
        <v>8.2553251123632734</v>
      </c>
      <c r="U7">
        <f t="shared" si="5"/>
        <v>8.702544297668366</v>
      </c>
      <c r="V7" s="9"/>
      <c r="W7">
        <f t="shared" si="2"/>
        <v>-3.1342353074617275</v>
      </c>
      <c r="X7" s="9"/>
      <c r="Y7" s="9">
        <f>T7-U7</f>
        <v>-0.44721918530509264</v>
      </c>
    </row>
    <row r="8" spans="1:27" x14ac:dyDescent="0.2">
      <c r="A8" s="11" t="s">
        <v>9</v>
      </c>
      <c r="B8" t="s">
        <v>87</v>
      </c>
      <c r="C8" t="s">
        <v>85</v>
      </c>
      <c r="D8">
        <v>175.82414187453</v>
      </c>
      <c r="E8">
        <v>384.86133643562698</v>
      </c>
      <c r="F8" s="9">
        <v>9069.9710345862095</v>
      </c>
      <c r="G8">
        <v>117.306806073847</v>
      </c>
      <c r="H8">
        <v>77.318369991903396</v>
      </c>
      <c r="I8" s="9">
        <v>9097.9781081648398</v>
      </c>
      <c r="J8">
        <v>105.18702328254599</v>
      </c>
      <c r="K8">
        <v>86.493350835933796</v>
      </c>
      <c r="L8">
        <v>0.99692161563309301</v>
      </c>
      <c r="N8" s="9"/>
      <c r="P8" s="11"/>
      <c r="Q8">
        <f t="shared" si="4"/>
        <v>11.420487272385756</v>
      </c>
      <c r="R8">
        <f t="shared" si="0"/>
        <v>10.45654949018612</v>
      </c>
      <c r="S8" s="9"/>
      <c r="T8">
        <f t="shared" si="1"/>
        <v>9.2584872723857572</v>
      </c>
      <c r="U8">
        <f t="shared" si="5"/>
        <v>9.5585494901861203</v>
      </c>
      <c r="V8" s="9"/>
      <c r="W8">
        <f>U8-$N$19</f>
        <v>-2.2782301149439732</v>
      </c>
      <c r="X8" s="9"/>
      <c r="Y8" s="9">
        <f t="shared" si="3"/>
        <v>-0.30006221780036313</v>
      </c>
    </row>
    <row r="9" spans="1:27" x14ac:dyDescent="0.2">
      <c r="A9" s="11" t="s">
        <v>10</v>
      </c>
      <c r="B9" t="s">
        <v>88</v>
      </c>
      <c r="C9" t="s">
        <v>85</v>
      </c>
      <c r="D9">
        <v>166.26715544995599</v>
      </c>
      <c r="E9">
        <v>404.96417189285802</v>
      </c>
      <c r="F9" s="9">
        <v>8633.2545464090508</v>
      </c>
      <c r="G9">
        <v>115.302279841258</v>
      </c>
      <c r="H9">
        <v>74.874968285925107</v>
      </c>
      <c r="I9" s="9">
        <v>8822.8025504870093</v>
      </c>
      <c r="J9">
        <v>104.101534007613</v>
      </c>
      <c r="K9">
        <v>84.751897602601403</v>
      </c>
      <c r="L9">
        <v>0.97851612308069902</v>
      </c>
      <c r="N9" s="14" t="s">
        <v>168</v>
      </c>
      <c r="P9" s="11"/>
      <c r="Q9">
        <f t="shared" si="4"/>
        <v>11.474065657647452</v>
      </c>
      <c r="R9">
        <f t="shared" si="0"/>
        <v>10.489895308738069</v>
      </c>
      <c r="S9" s="9"/>
      <c r="T9">
        <f t="shared" si="1"/>
        <v>9.3120656576474516</v>
      </c>
      <c r="U9">
        <f t="shared" si="5"/>
        <v>9.5918953087380689</v>
      </c>
      <c r="V9" s="9"/>
      <c r="W9">
        <f t="shared" si="2"/>
        <v>-2.2448842963920246</v>
      </c>
      <c r="X9" s="9"/>
      <c r="Y9" s="9">
        <f t="shared" si="3"/>
        <v>-0.2798296510906173</v>
      </c>
    </row>
    <row r="10" spans="1:27" x14ac:dyDescent="0.2">
      <c r="A10" s="11" t="s">
        <v>11</v>
      </c>
      <c r="B10" t="s">
        <v>89</v>
      </c>
      <c r="C10" t="s">
        <v>85</v>
      </c>
      <c r="D10">
        <v>16.709370098750998</v>
      </c>
      <c r="E10">
        <v>460.21918422358902</v>
      </c>
      <c r="F10" s="9">
        <v>12473.0084057451</v>
      </c>
      <c r="G10">
        <v>131.20693512954301</v>
      </c>
      <c r="H10">
        <v>95.063636639559704</v>
      </c>
      <c r="I10" s="9">
        <v>12637.5282939915</v>
      </c>
      <c r="J10">
        <v>120.969061252435</v>
      </c>
      <c r="K10">
        <v>104.469094520125</v>
      </c>
      <c r="L10">
        <v>0.98698164036360103</v>
      </c>
      <c r="N10" s="13">
        <v>2.1619999999999999</v>
      </c>
      <c r="P10" s="11"/>
      <c r="Q10">
        <f t="shared" si="4"/>
        <v>11.074573985134498</v>
      </c>
      <c r="R10">
        <f t="shared" si="0"/>
        <v>10.099756356551708</v>
      </c>
      <c r="S10" s="9"/>
      <c r="T10">
        <f t="shared" si="1"/>
        <v>8.9125739851344967</v>
      </c>
      <c r="U10">
        <f>R10-$N$13</f>
        <v>9.2017563565517086</v>
      </c>
      <c r="V10" s="9"/>
      <c r="W10">
        <f t="shared" si="2"/>
        <v>-2.6350232485783849</v>
      </c>
      <c r="X10" s="9"/>
      <c r="Y10" s="9">
        <f t="shared" si="3"/>
        <v>-0.28918237141721193</v>
      </c>
    </row>
    <row r="11" spans="1:27" x14ac:dyDescent="0.2">
      <c r="A11" s="11" t="s">
        <v>12</v>
      </c>
      <c r="B11" t="s">
        <v>90</v>
      </c>
      <c r="C11" t="s">
        <v>85</v>
      </c>
      <c r="D11">
        <v>44.105019489825402</v>
      </c>
      <c r="E11">
        <v>460.39597235140099</v>
      </c>
      <c r="F11" s="9">
        <v>3234.8328381123802</v>
      </c>
      <c r="G11">
        <v>88.768145642001798</v>
      </c>
      <c r="H11">
        <v>36.441369983758896</v>
      </c>
      <c r="I11" s="9">
        <v>3237.5919822842202</v>
      </c>
      <c r="J11">
        <v>72.327335574730995</v>
      </c>
      <c r="K11">
        <v>44.763047837411797</v>
      </c>
      <c r="L11">
        <v>0.99914777890884998</v>
      </c>
      <c r="N11" s="9"/>
      <c r="P11" s="11"/>
      <c r="Q11">
        <f t="shared" si="4"/>
        <v>12.539872414782669</v>
      </c>
      <c r="R11">
        <f t="shared" si="0"/>
        <v>11.578356419195192</v>
      </c>
      <c r="S11" s="9"/>
      <c r="T11">
        <f t="shared" si="1"/>
        <v>10.377872414782669</v>
      </c>
      <c r="U11">
        <f t="shared" si="5"/>
        <v>10.680356419195192</v>
      </c>
      <c r="V11" s="9"/>
      <c r="W11">
        <f t="shared" si="2"/>
        <v>-1.1564231859349015</v>
      </c>
      <c r="X11" s="9"/>
      <c r="Y11" s="9">
        <f t="shared" si="3"/>
        <v>-0.30248400441252343</v>
      </c>
    </row>
    <row r="12" spans="1:27" x14ac:dyDescent="0.2">
      <c r="A12" s="11" t="s">
        <v>13</v>
      </c>
      <c r="B12" t="s">
        <v>91</v>
      </c>
      <c r="C12" t="s">
        <v>85</v>
      </c>
      <c r="D12">
        <v>96.061125067798699</v>
      </c>
      <c r="E12">
        <v>473.78241897656</v>
      </c>
      <c r="F12" s="9">
        <v>13117.7348780048</v>
      </c>
      <c r="G12">
        <v>132.98467407912</v>
      </c>
      <c r="H12">
        <v>98.640952191230497</v>
      </c>
      <c r="I12" s="9">
        <v>14818.846472766299</v>
      </c>
      <c r="J12">
        <v>129.534049802113</v>
      </c>
      <c r="K12">
        <v>114.40116707078001</v>
      </c>
      <c r="L12">
        <v>0.88520620698191599</v>
      </c>
      <c r="N12" s="14" t="s">
        <v>169</v>
      </c>
      <c r="P12" s="11"/>
      <c r="Q12">
        <f t="shared" si="4"/>
        <v>11.019854899820324</v>
      </c>
      <c r="R12">
        <f t="shared" si="0"/>
        <v>9.9268757122687621</v>
      </c>
      <c r="S12" s="9"/>
      <c r="T12">
        <f t="shared" si="1"/>
        <v>8.8578548998203246</v>
      </c>
      <c r="U12">
        <f t="shared" si="5"/>
        <v>9.0288757122687624</v>
      </c>
      <c r="V12" s="9"/>
      <c r="W12">
        <f t="shared" si="2"/>
        <v>-2.8079038928613311</v>
      </c>
      <c r="X12" s="9"/>
      <c r="Y12" s="9">
        <f t="shared" si="3"/>
        <v>-0.17102081244843781</v>
      </c>
    </row>
    <row r="13" spans="1:27" x14ac:dyDescent="0.2">
      <c r="A13" s="11" t="s">
        <v>35</v>
      </c>
      <c r="B13" t="s">
        <v>92</v>
      </c>
      <c r="C13" t="s">
        <v>85</v>
      </c>
      <c r="D13">
        <v>178.16891942318799</v>
      </c>
      <c r="E13">
        <v>449.69032287297699</v>
      </c>
      <c r="F13" s="9">
        <v>2684.6315678997998</v>
      </c>
      <c r="G13">
        <v>86.198789620555601</v>
      </c>
      <c r="H13">
        <v>31.144655043504301</v>
      </c>
      <c r="I13" s="9">
        <v>2461.4829854271502</v>
      </c>
      <c r="J13">
        <v>66.098405506549895</v>
      </c>
      <c r="K13">
        <v>37.239672675360197</v>
      </c>
      <c r="L13">
        <v>1.0906561547627001</v>
      </c>
      <c r="N13" s="13">
        <v>0.89800000000000002</v>
      </c>
      <c r="P13" s="11"/>
      <c r="Q13">
        <f t="shared" si="4"/>
        <v>12.742290291087745</v>
      </c>
      <c r="R13">
        <f t="shared" si="0"/>
        <v>11.875919613556933</v>
      </c>
      <c r="S13" s="9"/>
      <c r="T13">
        <f t="shared" si="1"/>
        <v>10.580290291087746</v>
      </c>
      <c r="U13">
        <f t="shared" si="5"/>
        <v>10.977919613556933</v>
      </c>
      <c r="V13" s="9"/>
      <c r="W13">
        <f t="shared" si="2"/>
        <v>-0.85885999157316029</v>
      </c>
      <c r="X13" s="9"/>
      <c r="Y13" s="9">
        <f t="shared" si="3"/>
        <v>-0.39762932246918758</v>
      </c>
    </row>
    <row r="14" spans="1:27" x14ac:dyDescent="0.2">
      <c r="A14" s="11" t="s">
        <v>36</v>
      </c>
      <c r="B14" t="s">
        <v>93</v>
      </c>
      <c r="C14" t="s">
        <v>85</v>
      </c>
      <c r="D14">
        <v>101.55037227713601</v>
      </c>
      <c r="E14">
        <v>365.49771190636102</v>
      </c>
      <c r="F14" s="9">
        <v>5846.5383241387199</v>
      </c>
      <c r="G14">
        <v>102.219856788949</v>
      </c>
      <c r="H14">
        <v>57.195720164330602</v>
      </c>
      <c r="I14" s="9">
        <v>5248.2162647130899</v>
      </c>
      <c r="J14">
        <v>84.721230633329895</v>
      </c>
      <c r="K14">
        <v>61.946884216391503</v>
      </c>
      <c r="L14">
        <v>1.1140048407395999</v>
      </c>
      <c r="N14" s="9"/>
      <c r="P14" s="11"/>
      <c r="Q14">
        <f t="shared" si="4"/>
        <v>11.897255020604884</v>
      </c>
      <c r="R14">
        <f t="shared" si="0"/>
        <v>11.053882401816397</v>
      </c>
      <c r="S14" s="9"/>
      <c r="T14">
        <f t="shared" si="1"/>
        <v>9.7352550206048853</v>
      </c>
      <c r="U14">
        <f t="shared" si="5"/>
        <v>10.155882401816397</v>
      </c>
      <c r="V14" s="9"/>
      <c r="W14">
        <f t="shared" si="2"/>
        <v>-1.6808972033136964</v>
      </c>
      <c r="X14" s="9"/>
      <c r="Y14" s="9">
        <f t="shared" si="3"/>
        <v>-0.42062738121151177</v>
      </c>
    </row>
    <row r="15" spans="1:27" x14ac:dyDescent="0.2">
      <c r="A15" s="11" t="s">
        <v>37</v>
      </c>
      <c r="B15" t="s">
        <v>94</v>
      </c>
      <c r="C15" t="s">
        <v>85</v>
      </c>
      <c r="D15">
        <v>334.81525517385802</v>
      </c>
      <c r="E15">
        <v>383.81196944700702</v>
      </c>
      <c r="F15" s="9">
        <v>12891.8922246853</v>
      </c>
      <c r="G15">
        <v>133.11405265171501</v>
      </c>
      <c r="H15">
        <v>96.848469172643803</v>
      </c>
      <c r="I15" s="9">
        <v>11420.611938469599</v>
      </c>
      <c r="J15">
        <v>115.844189179667</v>
      </c>
      <c r="K15">
        <v>98.585971548015706</v>
      </c>
      <c r="L15">
        <v>1.1288267471255</v>
      </c>
      <c r="N15" s="14" t="s">
        <v>170</v>
      </c>
      <c r="P15" s="11"/>
      <c r="Q15">
        <f t="shared" si="4"/>
        <v>11.03871035722757</v>
      </c>
      <c r="R15">
        <f t="shared" si="0"/>
        <v>10.209688271713851</v>
      </c>
      <c r="S15" s="9"/>
      <c r="T15">
        <f t="shared" si="1"/>
        <v>8.8767103572275694</v>
      </c>
      <c r="U15">
        <f t="shared" si="5"/>
        <v>9.3116882717138516</v>
      </c>
      <c r="V15" s="9"/>
      <c r="W15">
        <f t="shared" si="2"/>
        <v>-2.5250913334162419</v>
      </c>
      <c r="X15" s="9"/>
      <c r="Y15" s="9">
        <f t="shared" si="3"/>
        <v>-0.4349779144862822</v>
      </c>
    </row>
    <row r="16" spans="1:27" x14ac:dyDescent="0.2">
      <c r="A16" s="11" t="s">
        <v>38</v>
      </c>
      <c r="B16" t="s">
        <v>95</v>
      </c>
      <c r="C16" t="s">
        <v>85</v>
      </c>
      <c r="D16">
        <v>354.392123490367</v>
      </c>
      <c r="E16">
        <v>431.289892030526</v>
      </c>
      <c r="F16" s="9">
        <v>8939.5226045008603</v>
      </c>
      <c r="G16">
        <v>117.33055318984</v>
      </c>
      <c r="H16">
        <v>76.190918405001895</v>
      </c>
      <c r="I16" s="9">
        <v>7950.8367594334904</v>
      </c>
      <c r="J16">
        <v>99.906599459835505</v>
      </c>
      <c r="K16">
        <v>79.582698264391297</v>
      </c>
      <c r="L16">
        <v>1.12434991120831</v>
      </c>
      <c r="N16" s="13">
        <v>2330</v>
      </c>
      <c r="P16" s="11"/>
      <c r="Q16">
        <f t="shared" si="4"/>
        <v>11.436216205498525</v>
      </c>
      <c r="R16">
        <f t="shared" si="0"/>
        <v>10.602879616533558</v>
      </c>
      <c r="S16" s="9"/>
      <c r="T16">
        <f>Q16-$N$10</f>
        <v>9.2742162054985258</v>
      </c>
      <c r="U16">
        <f t="shared" si="5"/>
        <v>9.7048796165335585</v>
      </c>
      <c r="V16" s="9"/>
      <c r="W16">
        <f t="shared" si="2"/>
        <v>-2.1318999885965351</v>
      </c>
      <c r="X16" s="9"/>
      <c r="Y16" s="9">
        <f t="shared" si="3"/>
        <v>-0.43066341103503269</v>
      </c>
    </row>
    <row r="17" spans="1:25" x14ac:dyDescent="0.2">
      <c r="A17" s="11" t="s">
        <v>39</v>
      </c>
      <c r="B17" t="s">
        <v>96</v>
      </c>
      <c r="C17" t="s">
        <v>85</v>
      </c>
      <c r="D17">
        <v>360.97314608592001</v>
      </c>
      <c r="E17">
        <v>445.67166756734701</v>
      </c>
      <c r="F17" s="9">
        <v>5323.11189466209</v>
      </c>
      <c r="G17">
        <v>101.012118496404</v>
      </c>
      <c r="H17">
        <v>52.697755218860898</v>
      </c>
      <c r="I17" s="9">
        <v>4951.4419197313</v>
      </c>
      <c r="J17">
        <v>83.954906462315407</v>
      </c>
      <c r="K17">
        <v>58.977397848139297</v>
      </c>
      <c r="L17">
        <v>1.07506297780646</v>
      </c>
      <c r="N17" s="9"/>
      <c r="P17" s="11"/>
      <c r="Q17">
        <f t="shared" si="4"/>
        <v>11.999088034259636</v>
      </c>
      <c r="R17">
        <f t="shared" si="0"/>
        <v>11.117082486006412</v>
      </c>
      <c r="S17" s="9"/>
      <c r="T17">
        <f t="shared" si="1"/>
        <v>9.8370880342596365</v>
      </c>
      <c r="U17">
        <f t="shared" si="5"/>
        <v>10.219082486006412</v>
      </c>
      <c r="V17" s="9"/>
      <c r="W17">
        <f t="shared" si="2"/>
        <v>-1.6176971191236813</v>
      </c>
      <c r="X17" s="9"/>
      <c r="Y17" s="9">
        <f t="shared" si="3"/>
        <v>-0.38199445174677571</v>
      </c>
    </row>
    <row r="18" spans="1:25" x14ac:dyDescent="0.2">
      <c r="A18" s="11" t="s">
        <v>40</v>
      </c>
      <c r="B18" t="s">
        <v>97</v>
      </c>
      <c r="C18" t="s">
        <v>85</v>
      </c>
      <c r="D18">
        <v>419.10475854940898</v>
      </c>
      <c r="E18">
        <v>485.57291972384502</v>
      </c>
      <c r="F18" s="9">
        <v>1978.51010333915</v>
      </c>
      <c r="G18">
        <v>82.474980829652296</v>
      </c>
      <c r="H18">
        <v>23.9892156801547</v>
      </c>
      <c r="I18" s="9">
        <v>2137.0942076502402</v>
      </c>
      <c r="J18">
        <v>64.163994994851805</v>
      </c>
      <c r="K18">
        <v>33.306751049739098</v>
      </c>
      <c r="L18">
        <v>0.92579451867709095</v>
      </c>
      <c r="N18" s="14" t="s">
        <v>171</v>
      </c>
      <c r="P18" s="11"/>
      <c r="Q18">
        <f t="shared" si="4"/>
        <v>13.073656341814115</v>
      </c>
      <c r="R18">
        <f t="shared" si="0"/>
        <v>12.029352540869896</v>
      </c>
      <c r="S18" s="9"/>
      <c r="T18">
        <f t="shared" si="1"/>
        <v>10.911656341814115</v>
      </c>
      <c r="U18">
        <f t="shared" si="5"/>
        <v>11.131352540869896</v>
      </c>
      <c r="V18" s="9"/>
      <c r="W18">
        <f t="shared" si="2"/>
        <v>-0.70542706426019741</v>
      </c>
      <c r="X18" s="9"/>
      <c r="Y18" s="9">
        <f t="shared" si="3"/>
        <v>-0.21969619905578064</v>
      </c>
    </row>
    <row r="19" spans="1:25" x14ac:dyDescent="0.2">
      <c r="A19" s="11" t="s">
        <v>41</v>
      </c>
      <c r="B19" t="s">
        <v>98</v>
      </c>
      <c r="C19" t="s">
        <v>85</v>
      </c>
      <c r="D19">
        <v>464.37736767013899</v>
      </c>
      <c r="E19">
        <v>463.71472981611498</v>
      </c>
      <c r="F19" s="9">
        <v>1907.4913764754599</v>
      </c>
      <c r="G19">
        <v>82.397314447233697</v>
      </c>
      <c r="H19">
        <v>23.149921684607801</v>
      </c>
      <c r="I19" s="9">
        <v>1802.5966655079901</v>
      </c>
      <c r="J19">
        <v>61.820401188591397</v>
      </c>
      <c r="K19">
        <v>29.158605102042799</v>
      </c>
      <c r="L19">
        <v>1.0581908937116</v>
      </c>
      <c r="N19" s="13">
        <f>5*LOG10(N16)-5</f>
        <v>11.836779605130094</v>
      </c>
      <c r="P19" s="11"/>
      <c r="Q19">
        <f t="shared" si="4"/>
        <v>13.113345564583863</v>
      </c>
      <c r="R19">
        <f t="shared" si="0"/>
        <v>12.214165300488363</v>
      </c>
      <c r="S19" s="9"/>
      <c r="T19">
        <f t="shared" si="1"/>
        <v>10.951345564583864</v>
      </c>
      <c r="U19">
        <f t="shared" si="5"/>
        <v>11.316165300488363</v>
      </c>
      <c r="V19" s="9"/>
      <c r="W19">
        <f t="shared" si="2"/>
        <v>-0.52061430464173064</v>
      </c>
      <c r="X19" s="9"/>
      <c r="Y19" s="9">
        <f t="shared" si="3"/>
        <v>-0.3648197359044989</v>
      </c>
    </row>
    <row r="20" spans="1:25" x14ac:dyDescent="0.2">
      <c r="A20" s="11" t="s">
        <v>42</v>
      </c>
      <c r="B20" t="s">
        <v>99</v>
      </c>
      <c r="C20" t="s">
        <v>85</v>
      </c>
      <c r="D20">
        <v>402.93044443543499</v>
      </c>
      <c r="E20">
        <v>432.60522310984902</v>
      </c>
      <c r="F20" s="9">
        <v>1519.55690802456</v>
      </c>
      <c r="G20">
        <v>79.577996661476405</v>
      </c>
      <c r="H20">
        <v>19.095189270580999</v>
      </c>
      <c r="I20" s="9">
        <v>1476.1059100229199</v>
      </c>
      <c r="J20">
        <v>58.9936684121433</v>
      </c>
      <c r="K20">
        <v>25.0214294135857</v>
      </c>
      <c r="L20">
        <v>1.02943623333976</v>
      </c>
      <c r="N20" s="9"/>
      <c r="P20" s="11"/>
      <c r="Q20">
        <f t="shared" si="4"/>
        <v>13.36020959962374</v>
      </c>
      <c r="R20">
        <f t="shared" si="0"/>
        <v>12.431117911230899</v>
      </c>
      <c r="S20" s="9"/>
      <c r="T20">
        <f t="shared" si="1"/>
        <v>11.198209599623741</v>
      </c>
      <c r="U20">
        <f t="shared" si="5"/>
        <v>11.533117911230899</v>
      </c>
      <c r="V20" s="9"/>
      <c r="W20">
        <f t="shared" si="2"/>
        <v>-0.30366169389919406</v>
      </c>
      <c r="X20" s="9"/>
      <c r="Y20" s="9">
        <f t="shared" si="3"/>
        <v>-0.33490831160715828</v>
      </c>
    </row>
    <row r="21" spans="1:25" x14ac:dyDescent="0.2">
      <c r="A21" s="11" t="s">
        <v>43</v>
      </c>
      <c r="B21" t="s">
        <v>100</v>
      </c>
      <c r="C21" t="s">
        <v>85</v>
      </c>
      <c r="D21">
        <v>482.440877697823</v>
      </c>
      <c r="E21">
        <v>359.49399726511399</v>
      </c>
      <c r="F21" s="9">
        <v>14362.1309568498</v>
      </c>
      <c r="G21">
        <v>138.39715286273599</v>
      </c>
      <c r="H21">
        <v>103.774757354252</v>
      </c>
      <c r="I21" s="9">
        <v>13266.8873635616</v>
      </c>
      <c r="J21">
        <v>123.549046513383</v>
      </c>
      <c r="K21">
        <v>107.38154391280101</v>
      </c>
      <c r="L21">
        <v>1.0825546764116101</v>
      </c>
      <c r="N21" s="9"/>
      <c r="P21" s="11"/>
      <c r="Q21">
        <f t="shared" si="4"/>
        <v>10.921454816699777</v>
      </c>
      <c r="R21">
        <f t="shared" si="0"/>
        <v>10.046989103953168</v>
      </c>
      <c r="S21" s="9"/>
      <c r="T21">
        <f t="shared" si="1"/>
        <v>8.7594548166997761</v>
      </c>
      <c r="U21">
        <f t="shared" si="5"/>
        <v>9.1489891039531681</v>
      </c>
      <c r="V21" s="9"/>
      <c r="W21">
        <f t="shared" si="2"/>
        <v>-2.6877905011769254</v>
      </c>
      <c r="X21" s="9"/>
      <c r="Y21" s="9">
        <f t="shared" si="3"/>
        <v>-0.38953428725339201</v>
      </c>
    </row>
    <row r="22" spans="1:25" x14ac:dyDescent="0.2">
      <c r="A22" s="11" t="s">
        <v>44</v>
      </c>
      <c r="B22" t="s">
        <v>101</v>
      </c>
      <c r="C22" t="s">
        <v>85</v>
      </c>
      <c r="D22">
        <v>489.80875008309602</v>
      </c>
      <c r="E22">
        <v>210.37992530233899</v>
      </c>
      <c r="F22" s="9">
        <v>26272.416938117702</v>
      </c>
      <c r="G22">
        <v>177.54036256993399</v>
      </c>
      <c r="H22">
        <v>147.97996668373801</v>
      </c>
      <c r="I22" s="9">
        <v>22152.847316319301</v>
      </c>
      <c r="J22">
        <v>156.44409272778199</v>
      </c>
      <c r="K22">
        <v>141.602325342292</v>
      </c>
      <c r="L22">
        <v>1.1859611797515299</v>
      </c>
      <c r="N22" s="9"/>
      <c r="P22" s="11"/>
      <c r="Q22">
        <f t="shared" si="4"/>
        <v>10.26575195353146</v>
      </c>
      <c r="R22">
        <f t="shared" si="0"/>
        <v>9.4903378233191358</v>
      </c>
      <c r="S22" s="9"/>
      <c r="T22">
        <f t="shared" si="1"/>
        <v>8.1037519535314608</v>
      </c>
      <c r="U22">
        <f t="shared" si="5"/>
        <v>8.5923378233191361</v>
      </c>
      <c r="V22" s="9"/>
      <c r="W22">
        <f t="shared" si="2"/>
        <v>-3.2444417818109574</v>
      </c>
      <c r="X22" s="9"/>
      <c r="Y22" s="9">
        <f t="shared" si="3"/>
        <v>-0.48858586978767526</v>
      </c>
    </row>
    <row r="23" spans="1:25" x14ac:dyDescent="0.2">
      <c r="A23" s="11" t="s">
        <v>45</v>
      </c>
      <c r="B23" t="s">
        <v>102</v>
      </c>
      <c r="C23" t="s">
        <v>85</v>
      </c>
      <c r="D23">
        <v>486.189863916523</v>
      </c>
      <c r="E23">
        <v>188.854961974285</v>
      </c>
      <c r="F23" s="9">
        <v>5731.65659283069</v>
      </c>
      <c r="G23">
        <v>104.039877891305</v>
      </c>
      <c r="H23">
        <v>55.090958476698702</v>
      </c>
      <c r="I23" s="9">
        <v>5060.6706053975504</v>
      </c>
      <c r="J23">
        <v>85.173334128898901</v>
      </c>
      <c r="K23">
        <v>59.416138362493498</v>
      </c>
      <c r="L23">
        <v>1.13258835434131</v>
      </c>
      <c r="N23" s="9"/>
      <c r="P23" s="11"/>
      <c r="Q23">
        <f t="shared" si="4"/>
        <v>11.918801617356669</v>
      </c>
      <c r="R23">
        <f t="shared" si="0"/>
        <v>11.093391532935861</v>
      </c>
      <c r="S23" s="9"/>
      <c r="T23">
        <f t="shared" si="1"/>
        <v>9.7568016173566683</v>
      </c>
      <c r="U23">
        <f t="shared" si="5"/>
        <v>10.195391532935862</v>
      </c>
      <c r="V23" s="9"/>
      <c r="W23">
        <f t="shared" si="2"/>
        <v>-1.641388072194232</v>
      </c>
      <c r="X23" s="9"/>
      <c r="Y23" s="9">
        <f t="shared" si="3"/>
        <v>-0.43858991557919325</v>
      </c>
    </row>
    <row r="24" spans="1:25" x14ac:dyDescent="0.2">
      <c r="A24" s="11" t="s">
        <v>46</v>
      </c>
      <c r="B24" t="s">
        <v>103</v>
      </c>
      <c r="C24" t="s">
        <v>85</v>
      </c>
      <c r="D24">
        <v>441.61114848536602</v>
      </c>
      <c r="E24">
        <v>99.062396796688802</v>
      </c>
      <c r="F24" s="9">
        <v>96385.985432463203</v>
      </c>
      <c r="G24">
        <v>318.20935648077199</v>
      </c>
      <c r="H24">
        <v>302.90116701294102</v>
      </c>
      <c r="I24" s="9">
        <v>83549.929386686606</v>
      </c>
      <c r="J24">
        <v>292.58573008417301</v>
      </c>
      <c r="K24">
        <v>285.55708907146698</v>
      </c>
      <c r="L24">
        <v>1.15363335600642</v>
      </c>
      <c r="N24" s="9"/>
      <c r="P24" s="11"/>
      <c r="Q24">
        <f t="shared" si="4"/>
        <v>8.8544672930087831</v>
      </c>
      <c r="R24">
        <f t="shared" si="0"/>
        <v>8.049046490942418</v>
      </c>
      <c r="S24" s="9"/>
      <c r="T24">
        <f t="shared" si="1"/>
        <v>6.6924672930087832</v>
      </c>
      <c r="U24">
        <f t="shared" si="5"/>
        <v>7.1510464909424183</v>
      </c>
      <c r="V24" s="9"/>
      <c r="W24">
        <f t="shared" si="2"/>
        <v>-4.6857331141876752</v>
      </c>
      <c r="X24" s="9"/>
      <c r="Y24" s="9">
        <f t="shared" si="3"/>
        <v>-0.45857919793363511</v>
      </c>
    </row>
    <row r="25" spans="1:25" x14ac:dyDescent="0.2">
      <c r="A25" s="11" t="s">
        <v>47</v>
      </c>
      <c r="B25" t="s">
        <v>104</v>
      </c>
      <c r="C25" t="s">
        <v>85</v>
      </c>
      <c r="D25">
        <v>398.03627237907398</v>
      </c>
      <c r="E25">
        <v>114.280293450152</v>
      </c>
      <c r="F25" s="9">
        <v>6466.4865290091102</v>
      </c>
      <c r="G25">
        <v>106.20123647584199</v>
      </c>
      <c r="H25">
        <v>60.888994738588103</v>
      </c>
      <c r="I25" s="9">
        <v>5121.1393104954304</v>
      </c>
      <c r="J25">
        <v>84.659132641028407</v>
      </c>
      <c r="K25">
        <v>60.491280157689303</v>
      </c>
      <c r="L25">
        <v>1.2627046711571499</v>
      </c>
      <c r="N25" s="9"/>
      <c r="P25" s="11"/>
      <c r="Q25">
        <f t="shared" si="4"/>
        <v>11.787831079718156</v>
      </c>
      <c r="R25">
        <f t="shared" si="0"/>
        <v>11.080495233592238</v>
      </c>
      <c r="S25" s="9"/>
      <c r="T25">
        <f t="shared" si="1"/>
        <v>9.6258310797181572</v>
      </c>
      <c r="U25">
        <f t="shared" si="5"/>
        <v>10.182495233592238</v>
      </c>
      <c r="V25" s="9"/>
      <c r="W25">
        <f t="shared" si="2"/>
        <v>-1.6542843715378552</v>
      </c>
      <c r="X25" s="9"/>
      <c r="Y25" s="9">
        <f t="shared" si="3"/>
        <v>-0.55666415387408108</v>
      </c>
    </row>
    <row r="26" spans="1:25" x14ac:dyDescent="0.2">
      <c r="A26" s="11" t="s">
        <v>48</v>
      </c>
      <c r="B26" t="s">
        <v>105</v>
      </c>
      <c r="C26" t="s">
        <v>85</v>
      </c>
      <c r="D26">
        <v>288.70417236144601</v>
      </c>
      <c r="E26">
        <v>99.148814026988404</v>
      </c>
      <c r="F26" s="9">
        <v>23833.627759217299</v>
      </c>
      <c r="G26">
        <v>168.54924247112001</v>
      </c>
      <c r="H26">
        <v>141.40453798421001</v>
      </c>
      <c r="I26" s="9">
        <v>915713.60900735296</v>
      </c>
      <c r="J26">
        <v>958.44101817445903</v>
      </c>
      <c r="K26">
        <v>955.41988671510603</v>
      </c>
      <c r="L26">
        <v>2.6027381841636301E-2</v>
      </c>
      <c r="N26" s="9"/>
      <c r="P26" s="11"/>
      <c r="Q26">
        <f t="shared" si="4"/>
        <v>10.371526642388362</v>
      </c>
      <c r="R26">
        <f t="shared" si="0"/>
        <v>5.4495125374831304</v>
      </c>
      <c r="S26" s="9"/>
      <c r="T26">
        <f t="shared" si="1"/>
        <v>8.2095266423883615</v>
      </c>
      <c r="U26">
        <f t="shared" si="5"/>
        <v>4.5515125374831307</v>
      </c>
      <c r="V26" s="9"/>
      <c r="W26">
        <f t="shared" si="2"/>
        <v>-7.2852670676469629</v>
      </c>
      <c r="X26" s="9"/>
      <c r="Y26" s="9">
        <f t="shared" si="3"/>
        <v>3.6580141049052308</v>
      </c>
    </row>
    <row r="27" spans="1:25" x14ac:dyDescent="0.2">
      <c r="A27" s="11" t="s">
        <v>49</v>
      </c>
      <c r="B27" t="s">
        <v>106</v>
      </c>
      <c r="C27" t="s">
        <v>85</v>
      </c>
      <c r="D27">
        <v>274.55149211966199</v>
      </c>
      <c r="E27">
        <v>121.402483724136</v>
      </c>
      <c r="F27" s="9">
        <v>637.36525999160494</v>
      </c>
      <c r="G27">
        <v>72.963477401339702</v>
      </c>
      <c r="H27">
        <v>8.7354013636951606</v>
      </c>
      <c r="I27" s="9">
        <v>792.548534639786</v>
      </c>
      <c r="J27">
        <v>55.812558380287101</v>
      </c>
      <c r="K27">
        <v>14.200182855615299</v>
      </c>
      <c r="L27">
        <v>0.804197133846557</v>
      </c>
      <c r="N27" s="9"/>
      <c r="P27" s="11"/>
      <c r="Q27">
        <f t="shared" si="4"/>
        <v>14.303531051989337</v>
      </c>
      <c r="R27">
        <f t="shared" si="0"/>
        <v>13.106347040561037</v>
      </c>
      <c r="S27" s="9"/>
      <c r="T27">
        <f t="shared" si="1"/>
        <v>12.141531051989336</v>
      </c>
      <c r="U27">
        <f t="shared" si="5"/>
        <v>12.208347040561037</v>
      </c>
      <c r="V27" s="9"/>
      <c r="W27">
        <f t="shared" si="2"/>
        <v>0.3715674354309435</v>
      </c>
      <c r="X27" s="9"/>
      <c r="Y27" s="9">
        <f t="shared" si="3"/>
        <v>-6.6815988571701013E-2</v>
      </c>
    </row>
    <row r="28" spans="1:25" x14ac:dyDescent="0.2">
      <c r="A28" s="11" t="s">
        <v>50</v>
      </c>
      <c r="B28" t="s">
        <v>107</v>
      </c>
      <c r="C28" t="s">
        <v>85</v>
      </c>
      <c r="D28">
        <v>195.00327147946501</v>
      </c>
      <c r="E28">
        <v>122.907477642492</v>
      </c>
      <c r="F28" s="9">
        <v>1160.4320804671599</v>
      </c>
      <c r="G28">
        <v>75.240822734485207</v>
      </c>
      <c r="H28">
        <v>15.422905256660499</v>
      </c>
      <c r="I28" s="9">
        <v>919.817685039857</v>
      </c>
      <c r="J28">
        <v>53.482508459490901</v>
      </c>
      <c r="K28">
        <v>17.198476876539001</v>
      </c>
      <c r="L28">
        <v>1.2615892250613501</v>
      </c>
      <c r="N28" s="9"/>
      <c r="P28" s="11"/>
      <c r="Q28">
        <f t="shared" si="4"/>
        <v>13.652952706467342</v>
      </c>
      <c r="R28">
        <f t="shared" si="0"/>
        <v>12.944657320494413</v>
      </c>
      <c r="S28" s="9"/>
      <c r="T28">
        <f t="shared" si="1"/>
        <v>11.490952706467343</v>
      </c>
      <c r="U28">
        <f t="shared" si="5"/>
        <v>12.046657320494413</v>
      </c>
      <c r="V28" s="9"/>
      <c r="W28">
        <f t="shared" si="2"/>
        <v>0.20987771536431943</v>
      </c>
      <c r="X28" s="9"/>
      <c r="Y28" s="9">
        <f t="shared" si="3"/>
        <v>-0.55570461402706961</v>
      </c>
    </row>
    <row r="29" spans="1:25" x14ac:dyDescent="0.2">
      <c r="A29" s="11" t="s">
        <v>51</v>
      </c>
      <c r="B29" t="s">
        <v>108</v>
      </c>
      <c r="C29" t="s">
        <v>85</v>
      </c>
      <c r="D29">
        <v>114.321106688982</v>
      </c>
      <c r="E29">
        <v>95.672105898103894</v>
      </c>
      <c r="F29" s="9">
        <v>7568.79275242931</v>
      </c>
      <c r="G29">
        <v>109.548428931418</v>
      </c>
      <c r="H29">
        <v>69.090837963250905</v>
      </c>
      <c r="I29" s="9">
        <v>6214.7491168142396</v>
      </c>
      <c r="J29">
        <v>90.041672890483795</v>
      </c>
      <c r="K29">
        <v>69.020809113277295</v>
      </c>
      <c r="L29">
        <v>1.2178758321798699</v>
      </c>
      <c r="N29" s="9"/>
      <c r="P29" s="11"/>
      <c r="Q29">
        <f t="shared" si="4"/>
        <v>11.616935488656809</v>
      </c>
      <c r="R29">
        <f t="shared" si="0"/>
        <v>10.870352705644503</v>
      </c>
      <c r="S29" s="9"/>
      <c r="T29">
        <f t="shared" si="1"/>
        <v>9.4549354886568082</v>
      </c>
      <c r="U29">
        <f t="shared" si="5"/>
        <v>9.9723527056445036</v>
      </c>
      <c r="V29" s="9"/>
      <c r="W29">
        <f t="shared" si="2"/>
        <v>-1.8644268994855899</v>
      </c>
      <c r="X29" s="9"/>
      <c r="Y29" s="9">
        <f t="shared" si="3"/>
        <v>-0.51741721698769538</v>
      </c>
    </row>
    <row r="30" spans="1:25" x14ac:dyDescent="0.2">
      <c r="A30" s="11" t="s">
        <v>52</v>
      </c>
      <c r="B30" t="s">
        <v>109</v>
      </c>
      <c r="C30" t="s">
        <v>85</v>
      </c>
      <c r="D30">
        <v>220.67708006914</v>
      </c>
      <c r="E30">
        <v>245.14466468946199</v>
      </c>
      <c r="F30" s="9">
        <v>6019.4842317275497</v>
      </c>
      <c r="G30">
        <v>103.099021400651</v>
      </c>
      <c r="H30">
        <v>58.385464284237102</v>
      </c>
      <c r="I30" s="9">
        <v>5189.1510581614502</v>
      </c>
      <c r="J30">
        <v>84.348149029083103</v>
      </c>
      <c r="K30">
        <v>61.520627516938603</v>
      </c>
      <c r="L30">
        <v>1.1600132977937001</v>
      </c>
      <c r="N30" s="9"/>
      <c r="P30" s="11"/>
      <c r="Q30">
        <f t="shared" si="4"/>
        <v>11.865603819838322</v>
      </c>
      <c r="R30">
        <f t="shared" si="0"/>
        <v>11.06617092550087</v>
      </c>
      <c r="S30" s="9"/>
      <c r="T30">
        <f t="shared" si="1"/>
        <v>9.703603819838321</v>
      </c>
      <c r="U30">
        <f t="shared" si="5"/>
        <v>10.168170925500871</v>
      </c>
      <c r="V30" s="9"/>
      <c r="W30">
        <f t="shared" si="2"/>
        <v>-1.668608679629223</v>
      </c>
      <c r="X30" s="9"/>
      <c r="Y30" s="9">
        <f t="shared" si="3"/>
        <v>-0.46456710566254955</v>
      </c>
    </row>
    <row r="31" spans="1:25" x14ac:dyDescent="0.2">
      <c r="A31" s="11" t="s">
        <v>53</v>
      </c>
      <c r="B31" t="s">
        <v>110</v>
      </c>
      <c r="C31" t="s">
        <v>85</v>
      </c>
      <c r="D31">
        <v>251.44959115957201</v>
      </c>
      <c r="E31">
        <v>277.77331834146202</v>
      </c>
      <c r="F31" s="9">
        <v>954.671034052408</v>
      </c>
      <c r="G31">
        <v>74.827927933332305</v>
      </c>
      <c r="H31">
        <v>12.7582182270631</v>
      </c>
      <c r="I31" s="9">
        <v>1923.9778169425999</v>
      </c>
      <c r="J31">
        <v>62.296134804718903</v>
      </c>
      <c r="K31">
        <v>30.884385090242599</v>
      </c>
      <c r="L31">
        <v>0.49619648711411701</v>
      </c>
      <c r="N31" s="9"/>
      <c r="P31" s="11"/>
      <c r="Q31">
        <f t="shared" si="4"/>
        <v>13.864867658409253</v>
      </c>
      <c r="R31">
        <f t="shared" si="0"/>
        <v>12.143411557874414</v>
      </c>
      <c r="S31" s="9"/>
      <c r="T31">
        <f t="shared" si="1"/>
        <v>11.702867658409254</v>
      </c>
      <c r="U31">
        <f t="shared" si="5"/>
        <v>11.245411557874414</v>
      </c>
      <c r="V31" s="9"/>
      <c r="W31">
        <f t="shared" si="2"/>
        <v>-0.59136804725567949</v>
      </c>
      <c r="X31" s="9"/>
      <c r="Y31" s="9">
        <f t="shared" si="3"/>
        <v>0.45745610053483965</v>
      </c>
    </row>
    <row r="32" spans="1:25" x14ac:dyDescent="0.2">
      <c r="A32" s="11" t="s">
        <v>54</v>
      </c>
      <c r="B32" t="s">
        <v>111</v>
      </c>
      <c r="C32" t="s">
        <v>85</v>
      </c>
      <c r="D32">
        <v>271.95386196950801</v>
      </c>
      <c r="E32">
        <v>270.36396176425501</v>
      </c>
      <c r="F32" s="9">
        <v>1477.3606102087599</v>
      </c>
      <c r="G32">
        <v>78.661849694097398</v>
      </c>
      <c r="H32">
        <v>18.781157777931298</v>
      </c>
      <c r="I32" s="9">
        <v>1373.2260198230699</v>
      </c>
      <c r="J32">
        <v>57.798642189914901</v>
      </c>
      <c r="K32">
        <v>23.7587937673505</v>
      </c>
      <c r="L32">
        <v>1.07583208363551</v>
      </c>
      <c r="N32" s="9"/>
      <c r="P32" s="11"/>
      <c r="Q32">
        <f t="shared" si="4"/>
        <v>13.390785733784021</v>
      </c>
      <c r="R32">
        <f t="shared" si="0"/>
        <v>12.509556649333659</v>
      </c>
      <c r="S32" s="9"/>
      <c r="T32">
        <f t="shared" si="1"/>
        <v>11.228785733784022</v>
      </c>
      <c r="U32">
        <f t="shared" si="5"/>
        <v>11.611556649333659</v>
      </c>
      <c r="V32" s="9"/>
      <c r="W32">
        <f t="shared" si="2"/>
        <v>-0.22522295579643448</v>
      </c>
      <c r="X32" s="9"/>
      <c r="Y32" s="9">
        <f t="shared" si="3"/>
        <v>-0.38277091554963683</v>
      </c>
    </row>
    <row r="33" spans="1:25" x14ac:dyDescent="0.2">
      <c r="A33" s="11" t="s">
        <v>55</v>
      </c>
      <c r="B33" t="s">
        <v>112</v>
      </c>
      <c r="C33" t="s">
        <v>85</v>
      </c>
      <c r="D33">
        <v>345.53330181483199</v>
      </c>
      <c r="E33">
        <v>359.85609073410001</v>
      </c>
      <c r="F33" s="9">
        <v>1014.9397327536</v>
      </c>
      <c r="G33">
        <v>76.158867184424807</v>
      </c>
      <c r="H33">
        <v>13.3266127803063</v>
      </c>
      <c r="I33" s="9">
        <v>1939.7215300774301</v>
      </c>
      <c r="J33">
        <v>62.880717591695898</v>
      </c>
      <c r="K33">
        <v>30.8476366741336</v>
      </c>
      <c r="L33">
        <v>0.52323991718186902</v>
      </c>
      <c r="N33" s="9"/>
      <c r="P33" s="11"/>
      <c r="Q33">
        <f t="shared" si="4"/>
        <v>13.798401386300217</v>
      </c>
      <c r="R33">
        <f t="shared" si="0"/>
        <v>12.134563243127682</v>
      </c>
      <c r="S33" s="9"/>
      <c r="T33">
        <f t="shared" si="1"/>
        <v>11.636401386300218</v>
      </c>
      <c r="U33">
        <f t="shared" si="5"/>
        <v>11.236563243127682</v>
      </c>
      <c r="V33" s="9"/>
      <c r="W33">
        <f t="shared" si="2"/>
        <v>-0.60021636200241169</v>
      </c>
      <c r="X33" s="9"/>
      <c r="Y33" s="9">
        <f t="shared" si="3"/>
        <v>0.39983814317253596</v>
      </c>
    </row>
    <row r="34" spans="1:25" x14ac:dyDescent="0.2">
      <c r="A34" s="11" t="s">
        <v>56</v>
      </c>
      <c r="B34" t="s">
        <v>113</v>
      </c>
      <c r="C34" t="s">
        <v>85</v>
      </c>
      <c r="D34">
        <v>406.66727432572202</v>
      </c>
      <c r="E34">
        <v>255.36475299809999</v>
      </c>
      <c r="F34" s="9">
        <v>1294.0688938922301</v>
      </c>
      <c r="G34">
        <v>77.371557433376694</v>
      </c>
      <c r="H34">
        <v>16.7253825154875</v>
      </c>
      <c r="I34" s="9">
        <v>2530.2718373939601</v>
      </c>
      <c r="J34">
        <v>66.839723104383296</v>
      </c>
      <c r="K34">
        <v>37.855809687338898</v>
      </c>
      <c r="L34">
        <v>0.51143472996366002</v>
      </c>
      <c r="N34" s="9"/>
      <c r="P34" s="11"/>
      <c r="Q34">
        <f t="shared" si="4"/>
        <v>13.534608527681446</v>
      </c>
      <c r="R34">
        <f t="shared" si="0"/>
        <v>11.845993754630282</v>
      </c>
      <c r="S34" s="9"/>
      <c r="T34">
        <f t="shared" si="1"/>
        <v>11.372608527681447</v>
      </c>
      <c r="U34">
        <f t="shared" si="5"/>
        <v>10.947993754630282</v>
      </c>
      <c r="V34" s="9"/>
      <c r="W34">
        <f t="shared" si="2"/>
        <v>-0.8887858504998114</v>
      </c>
      <c r="X34" s="9"/>
      <c r="Y34" s="9">
        <f t="shared" si="3"/>
        <v>0.42461477305116446</v>
      </c>
    </row>
    <row r="35" spans="1:25" x14ac:dyDescent="0.2">
      <c r="A35" s="11" t="s">
        <v>57</v>
      </c>
      <c r="B35" t="s">
        <v>114</v>
      </c>
      <c r="C35" t="s">
        <v>85</v>
      </c>
      <c r="D35">
        <v>341.09253657523601</v>
      </c>
      <c r="E35">
        <v>203.75521926987801</v>
      </c>
      <c r="F35" s="9">
        <v>2971.9668328150901</v>
      </c>
      <c r="G35">
        <v>87.428350573547306</v>
      </c>
      <c r="H35">
        <v>33.9931705598744</v>
      </c>
      <c r="I35" s="9">
        <v>2672.08641128916</v>
      </c>
      <c r="J35">
        <v>68.014325400233005</v>
      </c>
      <c r="K35">
        <v>39.287111877757503</v>
      </c>
      <c r="L35">
        <v>1.1122270673055199</v>
      </c>
      <c r="N35" s="9"/>
      <c r="P35" s="11"/>
      <c r="Q35">
        <f t="shared" si="4"/>
        <v>12.631892126727637</v>
      </c>
      <c r="R35">
        <f t="shared" si="0"/>
        <v>11.786785462726202</v>
      </c>
      <c r="S35" s="9"/>
      <c r="T35">
        <f t="shared" si="1"/>
        <v>10.469892126727636</v>
      </c>
      <c r="U35">
        <f t="shared" si="5"/>
        <v>10.888785462726203</v>
      </c>
      <c r="V35" s="9"/>
      <c r="W35">
        <f t="shared" si="2"/>
        <v>-0.9479941424038909</v>
      </c>
      <c r="X35" s="9"/>
      <c r="Y35" s="9">
        <f t="shared" si="3"/>
        <v>-0.41889333599856649</v>
      </c>
    </row>
    <row r="36" spans="1:25" x14ac:dyDescent="0.2">
      <c r="A36" s="11" t="s">
        <v>58</v>
      </c>
      <c r="B36" t="s">
        <v>115</v>
      </c>
      <c r="C36" t="s">
        <v>85</v>
      </c>
      <c r="D36">
        <v>282.59185877406401</v>
      </c>
      <c r="E36">
        <v>204.17559523955001</v>
      </c>
      <c r="F36" s="9">
        <v>1030.1637398113901</v>
      </c>
      <c r="G36">
        <v>75.060923462638996</v>
      </c>
      <c r="H36">
        <v>13.7243680504964</v>
      </c>
      <c r="I36" s="9">
        <v>975.72021187746202</v>
      </c>
      <c r="J36">
        <v>53.778787271666197</v>
      </c>
      <c r="K36">
        <v>18.143217082017099</v>
      </c>
      <c r="L36">
        <v>1.05579829880655</v>
      </c>
      <c r="N36" s="9"/>
      <c r="P36" s="11"/>
      <c r="Q36">
        <f t="shared" si="4"/>
        <v>13.782236374408189</v>
      </c>
      <c r="R36">
        <f t="shared" si="0"/>
        <v>12.880598455344421</v>
      </c>
      <c r="S36" s="9"/>
      <c r="T36">
        <f t="shared" si="1"/>
        <v>11.62023637440819</v>
      </c>
      <c r="U36">
        <f t="shared" si="5"/>
        <v>11.982598455344421</v>
      </c>
      <c r="V36" s="9"/>
      <c r="W36">
        <f t="shared" si="2"/>
        <v>0.14581885021432761</v>
      </c>
      <c r="X36" s="9"/>
      <c r="Y36" s="9">
        <f t="shared" si="3"/>
        <v>-0.36236208093623112</v>
      </c>
    </row>
    <row r="37" spans="1:25" x14ac:dyDescent="0.2">
      <c r="A37" s="11" t="s">
        <v>59</v>
      </c>
      <c r="B37" t="s">
        <v>116</v>
      </c>
      <c r="C37" t="s">
        <v>85</v>
      </c>
      <c r="D37">
        <v>426.27361783494302</v>
      </c>
      <c r="E37">
        <v>196.61622527939201</v>
      </c>
      <c r="F37" s="9">
        <v>1208.16217271596</v>
      </c>
      <c r="G37">
        <v>77.0259721890192</v>
      </c>
      <c r="H37">
        <v>15.6851272159366</v>
      </c>
      <c r="I37" s="9">
        <v>1252.63258950248</v>
      </c>
      <c r="J37">
        <v>56.301226072141297</v>
      </c>
      <c r="K37">
        <v>22.248762183214801</v>
      </c>
      <c r="L37">
        <v>0.96449843540779701</v>
      </c>
      <c r="N37" s="9"/>
      <c r="P37" s="11"/>
      <c r="Q37">
        <f t="shared" si="4"/>
        <v>13.609188937826664</v>
      </c>
      <c r="R37">
        <f t="shared" si="0"/>
        <v>12.609352442720361</v>
      </c>
      <c r="S37" s="9"/>
      <c r="T37">
        <f t="shared" si="1"/>
        <v>11.447188937826663</v>
      </c>
      <c r="U37">
        <f t="shared" si="5"/>
        <v>11.711352442720361</v>
      </c>
      <c r="V37" s="9"/>
      <c r="W37">
        <f t="shared" si="2"/>
        <v>-0.12542716240973206</v>
      </c>
      <c r="X37" s="9"/>
      <c r="Y37" s="9">
        <f t="shared" si="3"/>
        <v>-0.26416350489369833</v>
      </c>
    </row>
    <row r="38" spans="1:25" x14ac:dyDescent="0.2">
      <c r="A38" s="11" t="s">
        <v>60</v>
      </c>
      <c r="B38" t="s">
        <v>117</v>
      </c>
      <c r="C38" t="s">
        <v>85</v>
      </c>
      <c r="D38">
        <v>482.87424398076797</v>
      </c>
      <c r="E38">
        <v>264.99764833189897</v>
      </c>
      <c r="F38" s="9">
        <v>12838.786600703001</v>
      </c>
      <c r="G38">
        <v>133.56353983498099</v>
      </c>
      <c r="H38">
        <v>96.124935117513502</v>
      </c>
      <c r="I38" s="9">
        <v>10899.4742939804</v>
      </c>
      <c r="J38">
        <v>113.946631703386</v>
      </c>
      <c r="K38">
        <v>95.654203472664307</v>
      </c>
      <c r="L38">
        <v>1.1779271416598101</v>
      </c>
      <c r="N38" s="9"/>
      <c r="P38" s="11"/>
      <c r="Q38">
        <f t="shared" si="4"/>
        <v>11.043192071907145</v>
      </c>
      <c r="R38">
        <f t="shared" si="0"/>
        <v>10.260397830262963</v>
      </c>
      <c r="S38" s="9"/>
      <c r="T38">
        <f t="shared" si="1"/>
        <v>8.8811920719071438</v>
      </c>
      <c r="U38">
        <f t="shared" si="5"/>
        <v>9.3623978302629638</v>
      </c>
      <c r="V38" s="9"/>
      <c r="W38">
        <f t="shared" si="2"/>
        <v>-2.4743817748671297</v>
      </c>
      <c r="X38" s="9"/>
      <c r="Y38" s="9">
        <f t="shared" si="3"/>
        <v>-0.48120575835582002</v>
      </c>
    </row>
    <row r="39" spans="1:25" x14ac:dyDescent="0.2">
      <c r="A39" s="11" t="s">
        <v>61</v>
      </c>
      <c r="B39" t="s">
        <v>118</v>
      </c>
      <c r="C39" t="s">
        <v>85</v>
      </c>
      <c r="D39">
        <v>496.19841115401499</v>
      </c>
      <c r="E39">
        <v>271.56312037131198</v>
      </c>
      <c r="F39" s="9">
        <v>9458.2854485246298</v>
      </c>
      <c r="G39">
        <v>120.054710118516</v>
      </c>
      <c r="H39">
        <v>78.783126786009007</v>
      </c>
      <c r="I39" s="9">
        <v>9032.7386336144391</v>
      </c>
      <c r="J39">
        <v>104.782282687136</v>
      </c>
      <c r="K39">
        <v>86.204827781666197</v>
      </c>
      <c r="L39">
        <v>1.0471116050370901</v>
      </c>
      <c r="N39" s="9"/>
      <c r="P39" s="11"/>
      <c r="Q39">
        <f t="shared" si="4"/>
        <v>11.374970980766546</v>
      </c>
      <c r="R39">
        <f t="shared" si="0"/>
        <v>10.464363099125725</v>
      </c>
      <c r="S39" s="9"/>
      <c r="T39">
        <f t="shared" si="1"/>
        <v>9.2129709807665456</v>
      </c>
      <c r="U39">
        <f t="shared" si="5"/>
        <v>9.5663630991257254</v>
      </c>
      <c r="V39" s="9"/>
      <c r="W39">
        <f t="shared" si="2"/>
        <v>-2.2704165060043682</v>
      </c>
      <c r="X39" s="9"/>
      <c r="Y39" s="9">
        <f t="shared" si="3"/>
        <v>-0.35339211835917972</v>
      </c>
    </row>
    <row r="40" spans="1:25" x14ac:dyDescent="0.2">
      <c r="A40" s="11" t="s">
        <v>62</v>
      </c>
      <c r="B40" t="s">
        <v>119</v>
      </c>
      <c r="C40" t="s">
        <v>85</v>
      </c>
      <c r="D40">
        <v>491.53891776604002</v>
      </c>
      <c r="E40">
        <v>240.76598380238201</v>
      </c>
      <c r="F40" s="9">
        <v>2327.8070208272902</v>
      </c>
      <c r="G40">
        <v>87.494012128837397</v>
      </c>
      <c r="H40">
        <v>26.605329486999999</v>
      </c>
      <c r="I40" s="9">
        <v>2062.88169214553</v>
      </c>
      <c r="J40">
        <v>65.705550452069801</v>
      </c>
      <c r="K40">
        <v>31.395851308640001</v>
      </c>
      <c r="L40">
        <v>1.1284248775343999</v>
      </c>
      <c r="N40" s="9"/>
      <c r="P40" s="11"/>
      <c r="Q40">
        <f t="shared" si="4"/>
        <v>12.897134588395735</v>
      </c>
      <c r="R40">
        <f t="shared" si="0"/>
        <v>12.067725904981732</v>
      </c>
      <c r="S40" s="9"/>
      <c r="T40">
        <f t="shared" si="1"/>
        <v>10.735134588395734</v>
      </c>
      <c r="U40">
        <f t="shared" si="5"/>
        <v>11.169725904981732</v>
      </c>
      <c r="V40" s="9"/>
      <c r="W40">
        <f t="shared" si="2"/>
        <v>-0.66705370014836163</v>
      </c>
      <c r="X40" s="9"/>
      <c r="Y40" s="9">
        <f t="shared" si="3"/>
        <v>-0.43459131658599759</v>
      </c>
    </row>
    <row r="41" spans="1:25" x14ac:dyDescent="0.2">
      <c r="A41" s="11" t="s">
        <v>63</v>
      </c>
      <c r="B41" t="s">
        <v>120</v>
      </c>
      <c r="C41" t="s">
        <v>85</v>
      </c>
      <c r="D41">
        <v>444.48996449899499</v>
      </c>
      <c r="E41">
        <v>323.26083922068898</v>
      </c>
      <c r="F41" s="9">
        <v>1590.0608216757801</v>
      </c>
      <c r="G41">
        <v>79.804851499719803</v>
      </c>
      <c r="H41">
        <v>19.924362890160399</v>
      </c>
      <c r="I41" s="9">
        <v>1413.92775948198</v>
      </c>
      <c r="J41">
        <v>58.5491717496364</v>
      </c>
      <c r="K41">
        <v>24.149406682098199</v>
      </c>
      <c r="L41">
        <v>1.12457005742523</v>
      </c>
      <c r="N41" s="9"/>
      <c r="P41" s="11"/>
      <c r="Q41">
        <f t="shared" si="4"/>
        <v>13.310967680419674</v>
      </c>
      <c r="R41">
        <f t="shared" si="0"/>
        <v>12.477843656349984</v>
      </c>
      <c r="S41" s="9"/>
      <c r="T41">
        <f t="shared" si="1"/>
        <v>11.148967680419673</v>
      </c>
      <c r="U41">
        <f t="shared" si="5"/>
        <v>11.579843656349984</v>
      </c>
      <c r="V41" s="9"/>
      <c r="W41">
        <f t="shared" si="2"/>
        <v>-0.25693594878010906</v>
      </c>
      <c r="X41" s="9"/>
      <c r="Y41" s="9">
        <f t="shared" si="3"/>
        <v>-0.43087597593031113</v>
      </c>
    </row>
    <row r="42" spans="1:25" x14ac:dyDescent="0.2">
      <c r="A42" s="11" t="s">
        <v>64</v>
      </c>
      <c r="B42" t="s">
        <v>121</v>
      </c>
      <c r="C42" t="s">
        <v>85</v>
      </c>
      <c r="D42">
        <v>432.60812903479399</v>
      </c>
      <c r="E42">
        <v>304.47365399244302</v>
      </c>
      <c r="F42" s="9">
        <v>1598.2800299411199</v>
      </c>
      <c r="G42">
        <v>79.5881368102539</v>
      </c>
      <c r="H42">
        <v>20.081887753593001</v>
      </c>
      <c r="I42" s="9">
        <v>2049.6972776052799</v>
      </c>
      <c r="J42">
        <v>63.496826920730499</v>
      </c>
      <c r="K42">
        <v>32.2803103242329</v>
      </c>
      <c r="L42">
        <v>0.77976394241418701</v>
      </c>
      <c r="N42" s="9"/>
      <c r="P42" s="11"/>
      <c r="Q42">
        <f t="shared" si="4"/>
        <v>13.305369839930496</v>
      </c>
      <c r="R42">
        <f t="shared" si="0"/>
        <v>12.074687398171884</v>
      </c>
      <c r="S42" s="9"/>
      <c r="T42">
        <f t="shared" si="1"/>
        <v>11.143369839930497</v>
      </c>
      <c r="U42">
        <f t="shared" si="5"/>
        <v>11.176687398171884</v>
      </c>
      <c r="V42" s="9"/>
      <c r="W42">
        <f t="shared" si="2"/>
        <v>-0.66009220695820936</v>
      </c>
      <c r="X42" s="9"/>
      <c r="Y42" s="9">
        <f t="shared" si="3"/>
        <v>-3.3317558241387601E-2</v>
      </c>
    </row>
    <row r="43" spans="1:25" x14ac:dyDescent="0.2">
      <c r="A43" s="11" t="s">
        <v>65</v>
      </c>
      <c r="B43" t="s">
        <v>122</v>
      </c>
      <c r="C43" t="s">
        <v>85</v>
      </c>
      <c r="D43">
        <v>262.15149375101402</v>
      </c>
      <c r="E43">
        <v>494.73836363189099</v>
      </c>
      <c r="F43" s="9">
        <v>38485.5436039247</v>
      </c>
      <c r="G43">
        <v>208.737464829516</v>
      </c>
      <c r="H43">
        <v>184.37295688800901</v>
      </c>
      <c r="I43" s="9">
        <v>33377.011348280801</v>
      </c>
      <c r="J43">
        <v>188.177308919632</v>
      </c>
      <c r="K43">
        <v>177.370010974785</v>
      </c>
      <c r="L43">
        <v>1.1530554129708499</v>
      </c>
      <c r="N43" s="9"/>
      <c r="P43" s="11"/>
      <c r="Q43">
        <f t="shared" si="4"/>
        <v>9.8512579594403231</v>
      </c>
      <c r="R43">
        <f t="shared" si="0"/>
        <v>9.0452930929127415</v>
      </c>
      <c r="S43" s="9"/>
      <c r="T43">
        <f t="shared" si="1"/>
        <v>7.6892579594403232</v>
      </c>
      <c r="U43">
        <f t="shared" si="5"/>
        <v>8.1472930929127418</v>
      </c>
      <c r="V43" s="9"/>
      <c r="W43">
        <f t="shared" si="2"/>
        <v>-3.6894865122173517</v>
      </c>
      <c r="X43" s="9"/>
      <c r="Y43" s="9">
        <f t="shared" si="3"/>
        <v>-0.45803513347241864</v>
      </c>
    </row>
    <row r="44" spans="1:25" x14ac:dyDescent="0.2">
      <c r="A44" s="11" t="s">
        <v>66</v>
      </c>
      <c r="B44" t="s">
        <v>123</v>
      </c>
      <c r="C44" t="s">
        <v>85</v>
      </c>
      <c r="D44">
        <v>330.369885838448</v>
      </c>
      <c r="E44">
        <v>472.80835412922301</v>
      </c>
      <c r="F44" s="9">
        <v>1639.1090269962301</v>
      </c>
      <c r="G44">
        <v>80.368461100851107</v>
      </c>
      <c r="H44">
        <v>20.394928614340099</v>
      </c>
      <c r="I44" s="9">
        <v>7041.7520667059598</v>
      </c>
      <c r="J44">
        <v>95.182681926741395</v>
      </c>
      <c r="K44">
        <v>73.981442045578504</v>
      </c>
      <c r="L44">
        <v>0.23277005658095901</v>
      </c>
      <c r="N44" s="9"/>
      <c r="P44" s="11"/>
      <c r="Q44">
        <f t="shared" si="4"/>
        <v>13.277982417516762</v>
      </c>
      <c r="R44">
        <f t="shared" si="0"/>
        <v>10.734709884107716</v>
      </c>
      <c r="S44" s="9"/>
      <c r="T44">
        <f t="shared" si="1"/>
        <v>11.115982417516761</v>
      </c>
      <c r="U44">
        <f t="shared" si="5"/>
        <v>9.8367098841077159</v>
      </c>
      <c r="V44" s="9"/>
      <c r="W44">
        <f t="shared" si="2"/>
        <v>-2.0000697210223777</v>
      </c>
      <c r="X44" s="9"/>
      <c r="Y44" s="9">
        <f t="shared" si="3"/>
        <v>1.2792725334090456</v>
      </c>
    </row>
    <row r="45" spans="1:25" x14ac:dyDescent="0.2">
      <c r="A45" s="11" t="s">
        <v>67</v>
      </c>
      <c r="B45" t="s">
        <v>124</v>
      </c>
      <c r="C45" t="s">
        <v>85</v>
      </c>
      <c r="D45">
        <v>63.467067179256603</v>
      </c>
      <c r="E45">
        <v>264.493759736784</v>
      </c>
      <c r="F45" s="9">
        <v>3805.6749818782801</v>
      </c>
      <c r="G45">
        <v>92.124088008510697</v>
      </c>
      <c r="H45">
        <v>41.310313775119297</v>
      </c>
      <c r="I45" s="9">
        <v>3669.7568001694199</v>
      </c>
      <c r="J45">
        <v>74.873074157473894</v>
      </c>
      <c r="K45">
        <v>49.013037616849402</v>
      </c>
      <c r="L45">
        <v>1.03703738125169</v>
      </c>
      <c r="N45" s="9"/>
      <c r="P45" s="11"/>
      <c r="Q45">
        <f t="shared" si="4"/>
        <v>12.363422784568066</v>
      </c>
      <c r="R45">
        <f t="shared" si="0"/>
        <v>11.442318499109494</v>
      </c>
      <c r="S45" s="9"/>
      <c r="T45">
        <f t="shared" si="1"/>
        <v>10.201422784568067</v>
      </c>
      <c r="U45">
        <f t="shared" si="5"/>
        <v>10.544318499109494</v>
      </c>
      <c r="V45" s="9"/>
      <c r="W45">
        <f t="shared" si="2"/>
        <v>-1.2924611060205997</v>
      </c>
      <c r="X45" s="9"/>
      <c r="Y45" s="9">
        <f t="shared" si="3"/>
        <v>-0.34289571454142731</v>
      </c>
    </row>
    <row r="46" spans="1:25" x14ac:dyDescent="0.2">
      <c r="A46" s="11" t="s">
        <v>68</v>
      </c>
      <c r="B46" t="s">
        <v>125</v>
      </c>
      <c r="C46" t="s">
        <v>85</v>
      </c>
      <c r="D46">
        <v>17.206511252534099</v>
      </c>
      <c r="E46">
        <v>232.647873176595</v>
      </c>
      <c r="F46" s="9">
        <v>1585.8896274281601</v>
      </c>
      <c r="G46">
        <v>78.310303474260095</v>
      </c>
      <c r="H46">
        <v>20.251353360537401</v>
      </c>
      <c r="I46" s="9">
        <v>1675.64997031553</v>
      </c>
      <c r="J46">
        <v>59.6479158869316</v>
      </c>
      <c r="K46">
        <v>28.0923473251251</v>
      </c>
      <c r="L46">
        <v>0.94643252201981698</v>
      </c>
      <c r="N46" s="9"/>
      <c r="P46" s="11"/>
      <c r="Q46">
        <f t="shared" si="4"/>
        <v>13.313819626184117</v>
      </c>
      <c r="R46">
        <f t="shared" si="0"/>
        <v>12.293453450956102</v>
      </c>
      <c r="S46" s="9"/>
      <c r="T46">
        <f t="shared" si="1"/>
        <v>11.151819626184118</v>
      </c>
      <c r="U46">
        <f t="shared" si="5"/>
        <v>11.395453450956103</v>
      </c>
      <c r="V46" s="9"/>
      <c r="W46">
        <f t="shared" si="2"/>
        <v>-0.44132615417399101</v>
      </c>
      <c r="X46" s="9"/>
      <c r="Y46" s="9">
        <f t="shared" si="3"/>
        <v>-0.24363382477198492</v>
      </c>
    </row>
    <row r="47" spans="1:25" x14ac:dyDescent="0.2">
      <c r="A47" s="11" t="s">
        <v>69</v>
      </c>
      <c r="B47" t="s">
        <v>126</v>
      </c>
      <c r="C47" t="s">
        <v>85</v>
      </c>
      <c r="D47">
        <v>251.129756326701</v>
      </c>
      <c r="E47">
        <v>188.17299817087601</v>
      </c>
      <c r="F47" s="9">
        <v>684.55834708575003</v>
      </c>
      <c r="G47">
        <v>72.509583825708106</v>
      </c>
      <c r="H47">
        <v>9.4409360937890305</v>
      </c>
      <c r="I47" s="9">
        <v>600.59390798257004</v>
      </c>
      <c r="J47">
        <v>50.218682327653298</v>
      </c>
      <c r="K47">
        <v>11.9595712221992</v>
      </c>
      <c r="L47">
        <v>1.13980234895359</v>
      </c>
      <c r="N47" s="9"/>
      <c r="P47" s="11"/>
      <c r="Q47">
        <f t="shared" si="4"/>
        <v>14.225975846817871</v>
      </c>
      <c r="R47">
        <f t="shared" si="0"/>
        <v>13.407459402150932</v>
      </c>
      <c r="S47" s="9"/>
      <c r="T47">
        <f t="shared" si="1"/>
        <v>12.063975846817872</v>
      </c>
      <c r="U47">
        <f t="shared" si="5"/>
        <v>12.509459402150933</v>
      </c>
      <c r="V47" s="9"/>
      <c r="W47">
        <f t="shared" si="2"/>
        <v>0.67267979702083913</v>
      </c>
      <c r="X47" s="9"/>
      <c r="Y47" s="9">
        <f t="shared" si="3"/>
        <v>-0.44548355533306072</v>
      </c>
    </row>
    <row r="48" spans="1:25" x14ac:dyDescent="0.2">
      <c r="A48" s="11" t="s">
        <v>70</v>
      </c>
      <c r="B48" t="s">
        <v>127</v>
      </c>
      <c r="C48" t="s">
        <v>85</v>
      </c>
      <c r="D48">
        <v>299.93885566285297</v>
      </c>
      <c r="E48">
        <v>223.246199307681</v>
      </c>
      <c r="F48" s="9">
        <v>658.66633780528502</v>
      </c>
      <c r="G48">
        <v>72.456942445259301</v>
      </c>
      <c r="H48">
        <v>9.0904517300450802</v>
      </c>
      <c r="I48" s="9">
        <v>726.40599988869599</v>
      </c>
      <c r="J48">
        <v>51.647671664821097</v>
      </c>
      <c r="K48">
        <v>14.064641763579701</v>
      </c>
      <c r="L48">
        <v>0.90674683015587598</v>
      </c>
      <c r="N48" s="9"/>
      <c r="P48" s="11"/>
      <c r="Q48">
        <f t="shared" si="4"/>
        <v>14.267838350948153</v>
      </c>
      <c r="R48">
        <f t="shared" si="0"/>
        <v>13.200963152227642</v>
      </c>
      <c r="S48" s="9"/>
      <c r="T48">
        <f t="shared" si="1"/>
        <v>12.105838350948154</v>
      </c>
      <c r="U48">
        <f t="shared" si="5"/>
        <v>12.302963152227642</v>
      </c>
      <c r="V48" s="9"/>
      <c r="W48">
        <f t="shared" si="2"/>
        <v>0.46618354709754861</v>
      </c>
      <c r="X48" s="9"/>
      <c r="Y48" s="9">
        <f t="shared" si="3"/>
        <v>-0.19712480127948773</v>
      </c>
    </row>
    <row r="49" spans="1:25" x14ac:dyDescent="0.2">
      <c r="A49" s="11" t="s">
        <v>71</v>
      </c>
      <c r="B49" t="s">
        <v>128</v>
      </c>
      <c r="C49" t="s">
        <v>85</v>
      </c>
      <c r="D49">
        <v>343.97722082518999</v>
      </c>
      <c r="E49">
        <v>180.82759414330101</v>
      </c>
      <c r="F49" s="9">
        <v>768.33974194313998</v>
      </c>
      <c r="G49">
        <v>73.9357897964925</v>
      </c>
      <c r="H49">
        <v>10.391986669216401</v>
      </c>
      <c r="I49" s="9">
        <v>1281.5260052650999</v>
      </c>
      <c r="J49">
        <v>56.837455601622999</v>
      </c>
      <c r="K49">
        <v>22.5472092601645</v>
      </c>
      <c r="L49">
        <v>0.59955064414334402</v>
      </c>
      <c r="N49" s="9"/>
      <c r="P49" s="11"/>
      <c r="Q49">
        <f t="shared" si="4"/>
        <v>14.100618779167519</v>
      </c>
      <c r="R49">
        <f t="shared" si="0"/>
        <v>12.584593150151942</v>
      </c>
      <c r="S49" s="9"/>
      <c r="T49">
        <f t="shared" si="1"/>
        <v>11.93861877916752</v>
      </c>
      <c r="U49">
        <f t="shared" si="5"/>
        <v>11.686593150151943</v>
      </c>
      <c r="V49" s="9"/>
      <c r="W49">
        <f t="shared" si="2"/>
        <v>-0.15018645497815086</v>
      </c>
      <c r="X49" s="9"/>
      <c r="Y49" s="9">
        <f t="shared" si="3"/>
        <v>0.25202562901557712</v>
      </c>
    </row>
    <row r="50" spans="1:25" x14ac:dyDescent="0.2">
      <c r="A50" s="11" t="s">
        <v>72</v>
      </c>
      <c r="B50" t="s">
        <v>129</v>
      </c>
      <c r="C50" t="s">
        <v>85</v>
      </c>
      <c r="D50">
        <v>383.39454294474399</v>
      </c>
      <c r="E50">
        <v>300.428148533544</v>
      </c>
      <c r="F50" s="9">
        <v>3769.76658769392</v>
      </c>
      <c r="G50">
        <v>92.576626071100705</v>
      </c>
      <c r="H50">
        <v>40.720500926428898</v>
      </c>
      <c r="I50" s="9">
        <v>3430.4398869404499</v>
      </c>
      <c r="J50">
        <v>73.707950241719203</v>
      </c>
      <c r="K50">
        <v>46.540975236600701</v>
      </c>
      <c r="L50">
        <v>1.09891638155365</v>
      </c>
      <c r="N50" s="9"/>
      <c r="P50" s="11"/>
      <c r="Q50">
        <f t="shared" si="4"/>
        <v>12.373715870525196</v>
      </c>
      <c r="R50">
        <f t="shared" si="0"/>
        <v>11.515537175387488</v>
      </c>
      <c r="S50" s="9"/>
      <c r="T50">
        <f t="shared" si="1"/>
        <v>10.211715870525197</v>
      </c>
      <c r="U50">
        <f t="shared" si="5"/>
        <v>10.617537175387488</v>
      </c>
      <c r="V50" s="9"/>
      <c r="W50">
        <f t="shared" si="2"/>
        <v>-1.2192424297426054</v>
      </c>
      <c r="X50" s="9"/>
      <c r="Y50" s="9">
        <f t="shared" si="3"/>
        <v>-0.4058213048622914</v>
      </c>
    </row>
    <row r="51" spans="1:25" x14ac:dyDescent="0.2">
      <c r="A51" s="11" t="s">
        <v>73</v>
      </c>
      <c r="B51" t="s">
        <v>130</v>
      </c>
      <c r="C51" t="s">
        <v>85</v>
      </c>
      <c r="D51">
        <v>429.03998541969298</v>
      </c>
      <c r="E51">
        <v>341.00702840375698</v>
      </c>
      <c r="F51" s="9">
        <v>722.51858967914802</v>
      </c>
      <c r="G51">
        <v>74.148034407028106</v>
      </c>
      <c r="H51">
        <v>9.7442716513961098</v>
      </c>
      <c r="I51" s="9">
        <v>883.19171103266297</v>
      </c>
      <c r="J51">
        <v>53.355423071121002</v>
      </c>
      <c r="K51">
        <v>16.552988622269901</v>
      </c>
      <c r="L51">
        <v>0.81807673311873497</v>
      </c>
      <c r="N51" s="9"/>
      <c r="P51" s="11"/>
      <c r="Q51">
        <f t="shared" si="4"/>
        <v>14.167379458852563</v>
      </c>
      <c r="R51">
        <f t="shared" si="0"/>
        <v>12.988774247777867</v>
      </c>
      <c r="S51" s="9"/>
      <c r="T51">
        <f t="shared" si="1"/>
        <v>12.005379458852563</v>
      </c>
      <c r="U51">
        <f t="shared" si="5"/>
        <v>12.090774247777867</v>
      </c>
      <c r="V51" s="9"/>
      <c r="W51">
        <f t="shared" si="2"/>
        <v>0.25399464264777372</v>
      </c>
      <c r="X51" s="9"/>
      <c r="Y51" s="9">
        <f t="shared" si="3"/>
        <v>-8.539478892530461E-2</v>
      </c>
    </row>
    <row r="52" spans="1:25" x14ac:dyDescent="0.2">
      <c r="A52" s="11" t="s">
        <v>148</v>
      </c>
      <c r="B52" t="s">
        <v>131</v>
      </c>
      <c r="C52" t="s">
        <v>85</v>
      </c>
      <c r="D52">
        <v>464.95314577312303</v>
      </c>
      <c r="E52">
        <v>404.49289226245901</v>
      </c>
      <c r="F52" s="9">
        <v>1038.5592436100401</v>
      </c>
      <c r="G52">
        <v>76.8476797049384</v>
      </c>
      <c r="H52">
        <v>13.514516607367399</v>
      </c>
      <c r="I52" s="9">
        <v>1355.86972026121</v>
      </c>
      <c r="J52">
        <v>58.017940795261197</v>
      </c>
      <c r="K52">
        <v>23.3698352901893</v>
      </c>
      <c r="L52">
        <v>0.76597273918762898</v>
      </c>
      <c r="N52" s="9"/>
      <c r="P52" s="11"/>
      <c r="Q52">
        <f t="shared" si="4"/>
        <v>13.773423833969101</v>
      </c>
      <c r="R52">
        <f t="shared" si="0"/>
        <v>12.523366803814277</v>
      </c>
      <c r="S52" s="9"/>
      <c r="T52">
        <f t="shared" si="1"/>
        <v>11.611423833969102</v>
      </c>
      <c r="U52">
        <f t="shared" si="5"/>
        <v>11.625366803814277</v>
      </c>
      <c r="V52" s="9"/>
      <c r="W52">
        <f t="shared" si="2"/>
        <v>-0.21141280131581652</v>
      </c>
      <c r="X52" s="9"/>
      <c r="Y52" s="9">
        <f t="shared" si="3"/>
        <v>-1.3942969845174957E-2</v>
      </c>
    </row>
    <row r="53" spans="1:25" x14ac:dyDescent="0.2">
      <c r="A53" s="11" t="s">
        <v>149</v>
      </c>
      <c r="B53" t="s">
        <v>132</v>
      </c>
      <c r="C53" t="s">
        <v>85</v>
      </c>
      <c r="D53">
        <v>478.31860798121301</v>
      </c>
      <c r="E53">
        <v>125.98862705989799</v>
      </c>
      <c r="F53" s="9">
        <v>2195.3277825895798</v>
      </c>
      <c r="G53">
        <v>83.403181145165703</v>
      </c>
      <c r="H53">
        <v>26.321871089887399</v>
      </c>
      <c r="I53" s="9">
        <v>1802.0931180033699</v>
      </c>
      <c r="J53">
        <v>61.869791816130999</v>
      </c>
      <c r="K53">
        <v>29.127188973885001</v>
      </c>
      <c r="L53">
        <v>1.2182099585519099</v>
      </c>
      <c r="N53" s="9"/>
      <c r="P53" s="11"/>
      <c r="Q53">
        <f t="shared" si="4"/>
        <v>12.9607535887572</v>
      </c>
      <c r="R53">
        <f t="shared" si="0"/>
        <v>12.214468638524627</v>
      </c>
      <c r="S53" s="9"/>
      <c r="T53">
        <f t="shared" si="1"/>
        <v>10.798753588757201</v>
      </c>
      <c r="U53">
        <f t="shared" si="5"/>
        <v>11.316468638524627</v>
      </c>
      <c r="V53" s="9"/>
      <c r="W53">
        <f t="shared" si="2"/>
        <v>-0.52031096660546616</v>
      </c>
      <c r="X53" s="9"/>
      <c r="Y53" s="9">
        <f t="shared" si="3"/>
        <v>-0.51771504976742655</v>
      </c>
    </row>
    <row r="54" spans="1:25" x14ac:dyDescent="0.2">
      <c r="A54" s="11" t="s">
        <v>150</v>
      </c>
      <c r="B54" t="s">
        <v>133</v>
      </c>
      <c r="C54" t="s">
        <v>85</v>
      </c>
      <c r="D54">
        <v>463.353174972918</v>
      </c>
      <c r="E54">
        <v>136.94070911298499</v>
      </c>
      <c r="F54" s="9">
        <v>1309.79369761417</v>
      </c>
      <c r="G54">
        <v>78.595466472913301</v>
      </c>
      <c r="H54">
        <v>16.665003166124901</v>
      </c>
      <c r="I54" s="9">
        <v>1164.8409142766</v>
      </c>
      <c r="J54">
        <v>56.967899912086096</v>
      </c>
      <c r="K54">
        <v>20.447320615192101</v>
      </c>
      <c r="L54">
        <v>1.1244399828002101</v>
      </c>
      <c r="N54" s="9"/>
      <c r="P54" s="11"/>
      <c r="Q54">
        <f t="shared" si="4"/>
        <v>13.521494781722797</v>
      </c>
      <c r="R54">
        <f t="shared" si="0"/>
        <v>12.688245167524713</v>
      </c>
      <c r="S54" s="9"/>
      <c r="T54">
        <f t="shared" si="1"/>
        <v>11.359494781722798</v>
      </c>
      <c r="U54">
        <f t="shared" si="5"/>
        <v>11.790245167524713</v>
      </c>
      <c r="V54" s="9"/>
      <c r="W54">
        <f t="shared" si="2"/>
        <v>-4.6534437605380674E-2</v>
      </c>
      <c r="X54" s="9"/>
      <c r="Y54" s="9">
        <f t="shared" si="3"/>
        <v>-0.4307503858019146</v>
      </c>
    </row>
    <row r="55" spans="1:25" x14ac:dyDescent="0.2">
      <c r="A55" s="11" t="s">
        <v>151</v>
      </c>
      <c r="B55" t="s">
        <v>134</v>
      </c>
      <c r="C55" t="s">
        <v>85</v>
      </c>
      <c r="D55">
        <v>374.18217693910299</v>
      </c>
      <c r="E55">
        <v>71.571340178462506</v>
      </c>
      <c r="F55" s="9">
        <v>1593.93966506785</v>
      </c>
      <c r="G55">
        <v>78.664633699632802</v>
      </c>
      <c r="H55">
        <v>20.262468533878</v>
      </c>
      <c r="I55" s="9">
        <v>1464.2026776929399</v>
      </c>
      <c r="J55">
        <v>58.833881004316098</v>
      </c>
      <c r="K55">
        <v>24.887065967746199</v>
      </c>
      <c r="L55">
        <v>1.0886058940824499</v>
      </c>
      <c r="N55" s="9"/>
      <c r="P55" s="11"/>
      <c r="Q55">
        <f t="shared" si="4"/>
        <v>13.308322327314832</v>
      </c>
      <c r="R55">
        <f t="shared" si="0"/>
        <v>12.43990871703283</v>
      </c>
      <c r="S55" s="9"/>
      <c r="T55">
        <f t="shared" si="1"/>
        <v>11.146322327314831</v>
      </c>
      <c r="U55">
        <f t="shared" si="5"/>
        <v>11.541908717032831</v>
      </c>
      <c r="V55" s="9"/>
      <c r="W55">
        <f t="shared" si="2"/>
        <v>-0.29487088809726281</v>
      </c>
      <c r="X55" s="9"/>
      <c r="Y55" s="9">
        <f t="shared" si="3"/>
        <v>-0.39558638971799986</v>
      </c>
    </row>
    <row r="56" spans="1:25" x14ac:dyDescent="0.2">
      <c r="A56" s="11" t="s">
        <v>152</v>
      </c>
      <c r="B56" t="s">
        <v>135</v>
      </c>
      <c r="C56" t="s">
        <v>85</v>
      </c>
      <c r="D56">
        <v>346.273351769508</v>
      </c>
      <c r="E56">
        <v>72.7728475624845</v>
      </c>
      <c r="F56" s="9">
        <v>668.47261806704296</v>
      </c>
      <c r="G56">
        <v>72.828017296524294</v>
      </c>
      <c r="H56">
        <v>9.1787837000327706</v>
      </c>
      <c r="I56" s="9">
        <v>539.31625524215804</v>
      </c>
      <c r="J56">
        <v>50.491977937633401</v>
      </c>
      <c r="K56">
        <v>10.681226548666899</v>
      </c>
      <c r="L56">
        <v>1.239481679941</v>
      </c>
      <c r="N56" s="9"/>
      <c r="P56" s="11"/>
      <c r="Q56">
        <f t="shared" si="4"/>
        <v>14.251792966639403</v>
      </c>
      <c r="R56">
        <f t="shared" si="0"/>
        <v>13.524302933085664</v>
      </c>
      <c r="S56" s="9"/>
      <c r="T56">
        <f t="shared" si="1"/>
        <v>12.089792966639404</v>
      </c>
      <c r="U56">
        <f t="shared" si="5"/>
        <v>12.626302933085665</v>
      </c>
      <c r="V56" s="9"/>
      <c r="W56">
        <f t="shared" si="2"/>
        <v>0.78952332795557112</v>
      </c>
      <c r="X56" s="9"/>
      <c r="Y56" s="9">
        <f t="shared" si="3"/>
        <v>-0.53650996644626048</v>
      </c>
    </row>
    <row r="57" spans="1:25" x14ac:dyDescent="0.2">
      <c r="A57" s="11" t="s">
        <v>153</v>
      </c>
      <c r="B57" t="s">
        <v>136</v>
      </c>
      <c r="C57" t="s">
        <v>85</v>
      </c>
      <c r="D57">
        <v>276.75786819651597</v>
      </c>
      <c r="E57">
        <v>38.127879684435698</v>
      </c>
      <c r="F57" s="9">
        <v>970.90667574487395</v>
      </c>
      <c r="G57">
        <v>75.088203189975204</v>
      </c>
      <c r="H57">
        <v>12.9302158594533</v>
      </c>
      <c r="I57" s="9">
        <v>1602.4157115415901</v>
      </c>
      <c r="J57">
        <v>60.144646971765098</v>
      </c>
      <c r="K57">
        <v>26.642698764095201</v>
      </c>
      <c r="L57">
        <v>0.60590186975314897</v>
      </c>
      <c r="N57" s="9"/>
      <c r="P57" s="11"/>
      <c r="Q57">
        <f t="shared" si="4"/>
        <v>13.846558304655275</v>
      </c>
      <c r="R57">
        <f t="shared" si="0"/>
        <v>12.341973722580612</v>
      </c>
      <c r="S57" s="9"/>
      <c r="T57">
        <f t="shared" si="1"/>
        <v>11.684558304655276</v>
      </c>
      <c r="U57">
        <f t="shared" si="5"/>
        <v>11.443973722580612</v>
      </c>
      <c r="V57" s="9"/>
      <c r="W57">
        <f t="shared" si="2"/>
        <v>-0.39280588254948157</v>
      </c>
      <c r="X57" s="9"/>
      <c r="Y57" s="9">
        <f t="shared" si="3"/>
        <v>0.24058458207466416</v>
      </c>
    </row>
    <row r="58" spans="1:25" x14ac:dyDescent="0.2">
      <c r="A58" s="11" t="s">
        <v>154</v>
      </c>
      <c r="B58" t="s">
        <v>137</v>
      </c>
      <c r="C58" t="s">
        <v>85</v>
      </c>
      <c r="D58">
        <v>461.200881654515</v>
      </c>
      <c r="E58">
        <v>53.077088169877001</v>
      </c>
      <c r="F58" s="9">
        <v>1250.4744750699299</v>
      </c>
      <c r="G58">
        <v>76.530542752478894</v>
      </c>
      <c r="H58">
        <v>16.339547977783401</v>
      </c>
      <c r="I58" s="9">
        <v>1063.2653504105599</v>
      </c>
      <c r="J58">
        <v>54.931377140982597</v>
      </c>
      <c r="K58">
        <v>19.356247845046099</v>
      </c>
      <c r="L58">
        <v>1.1760699947450399</v>
      </c>
      <c r="N58" s="9"/>
      <c r="P58" s="11"/>
      <c r="Q58">
        <f t="shared" si="4"/>
        <v>13.571814944555459</v>
      </c>
      <c r="R58">
        <f t="shared" si="0"/>
        <v>12.787307555490589</v>
      </c>
      <c r="S58" s="9"/>
      <c r="T58">
        <f t="shared" si="1"/>
        <v>11.40981494455546</v>
      </c>
      <c r="U58">
        <f t="shared" si="5"/>
        <v>11.889307555490589</v>
      </c>
      <c r="V58" s="9"/>
      <c r="W58">
        <f t="shared" si="2"/>
        <v>5.2527950360495623E-2</v>
      </c>
      <c r="X58" s="9"/>
      <c r="Y58" s="9">
        <f t="shared" si="3"/>
        <v>-0.47949261093512874</v>
      </c>
    </row>
    <row r="59" spans="1:25" x14ac:dyDescent="0.2">
      <c r="A59" s="11" t="s">
        <v>155</v>
      </c>
      <c r="B59" t="s">
        <v>138</v>
      </c>
      <c r="C59" t="s">
        <v>85</v>
      </c>
      <c r="D59">
        <v>420.97315796757198</v>
      </c>
      <c r="E59">
        <v>90.110249557935205</v>
      </c>
      <c r="F59" s="9">
        <v>1955.80801183623</v>
      </c>
      <c r="G59">
        <v>82.553772447213703</v>
      </c>
      <c r="H59">
        <v>23.691322078428399</v>
      </c>
      <c r="I59" s="9">
        <v>1626.5155526911799</v>
      </c>
      <c r="J59">
        <v>61.1541336351113</v>
      </c>
      <c r="K59">
        <v>26.596984635513301</v>
      </c>
      <c r="L59">
        <v>1.2024526962562401</v>
      </c>
      <c r="N59" s="9"/>
      <c r="P59" s="11"/>
      <c r="Q59">
        <f t="shared" si="4"/>
        <v>13.086186470552102</v>
      </c>
      <c r="R59">
        <f t="shared" si="0"/>
        <v>12.325766158022033</v>
      </c>
      <c r="S59" s="9"/>
      <c r="T59">
        <f t="shared" si="1"/>
        <v>10.924186470552101</v>
      </c>
      <c r="U59">
        <f t="shared" si="5"/>
        <v>11.427766158022033</v>
      </c>
      <c r="V59" s="9"/>
      <c r="W59">
        <f t="shared" si="2"/>
        <v>-0.40901344710806065</v>
      </c>
      <c r="X59" s="9"/>
      <c r="Y59" s="9">
        <f t="shared" si="3"/>
        <v>-0.50357968746993187</v>
      </c>
    </row>
    <row r="60" spans="1:25" x14ac:dyDescent="0.2">
      <c r="A60" s="11" t="s">
        <v>156</v>
      </c>
      <c r="B60" t="s">
        <v>139</v>
      </c>
      <c r="C60" t="s">
        <v>85</v>
      </c>
      <c r="D60">
        <v>412.13739616802002</v>
      </c>
      <c r="E60">
        <v>98.379018528332594</v>
      </c>
      <c r="F60" s="9">
        <v>1140.4996586193199</v>
      </c>
      <c r="G60">
        <v>78.318999442782797</v>
      </c>
      <c r="H60">
        <v>14.562234792753401</v>
      </c>
      <c r="I60" s="9">
        <v>1017.16228511785</v>
      </c>
      <c r="J60">
        <v>56.672463235262498</v>
      </c>
      <c r="K60">
        <v>17.9480867259173</v>
      </c>
      <c r="L60">
        <v>1.12125633766216</v>
      </c>
      <c r="N60" s="9"/>
      <c r="P60" s="11"/>
      <c r="Q60">
        <f t="shared" si="4"/>
        <v>13.671764123644603</v>
      </c>
      <c r="R60">
        <f t="shared" si="0"/>
        <v>12.835436086888977</v>
      </c>
      <c r="S60" s="9"/>
      <c r="T60">
        <f t="shared" si="1"/>
        <v>11.509764123644604</v>
      </c>
      <c r="U60">
        <f t="shared" si="5"/>
        <v>11.937436086888978</v>
      </c>
      <c r="V60" s="9"/>
      <c r="W60">
        <f t="shared" si="2"/>
        <v>0.1006564817588842</v>
      </c>
      <c r="X60" s="9"/>
      <c r="Y60" s="9">
        <f t="shared" si="3"/>
        <v>-0.42767196324437329</v>
      </c>
    </row>
    <row r="61" spans="1:25" x14ac:dyDescent="0.2">
      <c r="A61" s="11" t="s">
        <v>157</v>
      </c>
      <c r="B61" t="s">
        <v>140</v>
      </c>
      <c r="C61" t="s">
        <v>85</v>
      </c>
      <c r="D61">
        <v>367.228396713481</v>
      </c>
      <c r="E61">
        <v>221.547685553317</v>
      </c>
      <c r="F61" s="9">
        <v>1310.12674900667</v>
      </c>
      <c r="G61">
        <v>77.569198944754802</v>
      </c>
      <c r="H61">
        <v>16.889780567925602</v>
      </c>
      <c r="I61" s="9">
        <v>1161.6836298487599</v>
      </c>
      <c r="J61">
        <v>55.549368373417003</v>
      </c>
      <c r="K61">
        <v>20.912634362277998</v>
      </c>
      <c r="L61">
        <v>1.1277827416550901</v>
      </c>
      <c r="N61" s="9"/>
      <c r="P61" s="11"/>
      <c r="Q61">
        <f t="shared" si="4"/>
        <v>13.521218738259495</v>
      </c>
      <c r="R61">
        <f t="shared" si="0"/>
        <v>12.691192035310902</v>
      </c>
      <c r="S61" s="9"/>
      <c r="T61">
        <f t="shared" si="1"/>
        <v>11.359218738259496</v>
      </c>
      <c r="U61">
        <f t="shared" si="5"/>
        <v>11.793192035310902</v>
      </c>
      <c r="V61" s="9"/>
      <c r="W61">
        <f t="shared" si="2"/>
        <v>-4.358756981919143E-2</v>
      </c>
      <c r="X61" s="9"/>
      <c r="Y61" s="9">
        <f t="shared" si="3"/>
        <v>-0.43397329705140564</v>
      </c>
    </row>
    <row r="62" spans="1:25" x14ac:dyDescent="0.2">
      <c r="A62" s="11" t="s">
        <v>158</v>
      </c>
      <c r="B62" t="s">
        <v>141</v>
      </c>
      <c r="C62" t="s">
        <v>85</v>
      </c>
      <c r="D62">
        <v>200.267352194545</v>
      </c>
      <c r="E62">
        <v>314.37133373698498</v>
      </c>
      <c r="F62" s="9">
        <v>693.94180900164702</v>
      </c>
      <c r="G62">
        <v>73.076784832031095</v>
      </c>
      <c r="H62">
        <v>9.4960637717804595</v>
      </c>
      <c r="I62" s="9">
        <v>663.16085319562706</v>
      </c>
      <c r="J62">
        <v>51.231400709839498</v>
      </c>
      <c r="K62">
        <v>12.9444216634166</v>
      </c>
      <c r="L62">
        <v>1.0464155199416401</v>
      </c>
      <c r="N62" s="9"/>
      <c r="P62" s="11"/>
      <c r="Q62">
        <f t="shared" si="4"/>
        <v>14.211194387937685</v>
      </c>
      <c r="R62">
        <f t="shared" si="0"/>
        <v>13.299864504839551</v>
      </c>
      <c r="S62" s="9"/>
      <c r="T62">
        <f t="shared" si="1"/>
        <v>12.049194387937685</v>
      </c>
      <c r="U62">
        <f t="shared" si="5"/>
        <v>12.401864504839551</v>
      </c>
      <c r="V62" s="9"/>
      <c r="W62">
        <f t="shared" si="2"/>
        <v>0.56508489970945774</v>
      </c>
      <c r="X62" s="9"/>
      <c r="Y62" s="9">
        <f t="shared" si="3"/>
        <v>-0.35267011690186578</v>
      </c>
    </row>
    <row r="63" spans="1:25" x14ac:dyDescent="0.2">
      <c r="A63" s="11" t="s">
        <v>159</v>
      </c>
      <c r="B63" t="s">
        <v>142</v>
      </c>
      <c r="C63" t="s">
        <v>85</v>
      </c>
      <c r="D63">
        <v>103.540356503528</v>
      </c>
      <c r="E63">
        <v>204.69014727845601</v>
      </c>
      <c r="F63" s="9">
        <v>566.73455285404305</v>
      </c>
      <c r="G63">
        <v>71.812132511290798</v>
      </c>
      <c r="H63">
        <v>7.8919053512989201</v>
      </c>
      <c r="I63" s="9">
        <v>624.71046603724301</v>
      </c>
      <c r="J63">
        <v>49.807705887856699</v>
      </c>
      <c r="K63">
        <v>12.54244609145</v>
      </c>
      <c r="L63">
        <v>0.90719554684114401</v>
      </c>
      <c r="N63" s="9"/>
      <c r="P63" s="11"/>
      <c r="Q63">
        <f t="shared" si="4"/>
        <v>14.431052793552738</v>
      </c>
      <c r="R63">
        <f t="shared" si="0"/>
        <v>13.36471475407939</v>
      </c>
      <c r="S63" s="9"/>
      <c r="T63">
        <f t="shared" si="1"/>
        <v>12.269052793552738</v>
      </c>
      <c r="U63">
        <f t="shared" si="5"/>
        <v>12.466714754079391</v>
      </c>
      <c r="V63" s="9"/>
      <c r="W63">
        <f t="shared" si="2"/>
        <v>0.62993514894929703</v>
      </c>
      <c r="X63" s="9"/>
      <c r="Y63" s="9">
        <f t="shared" si="3"/>
        <v>-0.19766196052665208</v>
      </c>
    </row>
    <row r="64" spans="1:25" x14ac:dyDescent="0.2">
      <c r="A64" s="11" t="s">
        <v>160</v>
      </c>
      <c r="B64" t="s">
        <v>143</v>
      </c>
      <c r="C64" t="s">
        <v>85</v>
      </c>
      <c r="D64">
        <v>122.65070370274699</v>
      </c>
      <c r="E64">
        <v>156.971164431613</v>
      </c>
      <c r="F64" s="9">
        <v>256.96728142356301</v>
      </c>
      <c r="G64">
        <v>69.1652332857159</v>
      </c>
      <c r="H64">
        <v>3.7152666045678302</v>
      </c>
      <c r="I64" s="9">
        <v>250.634988981379</v>
      </c>
      <c r="J64">
        <v>45.7741695414052</v>
      </c>
      <c r="K64">
        <v>5.4754677472557001</v>
      </c>
      <c r="L64">
        <v>1.02526499778789</v>
      </c>
      <c r="N64" s="9"/>
      <c r="P64" s="11"/>
      <c r="Q64">
        <f t="shared" si="4"/>
        <v>15.289807447839873</v>
      </c>
      <c r="R64">
        <f t="shared" si="0"/>
        <v>14.356307461432499</v>
      </c>
      <c r="S64" s="9"/>
      <c r="T64">
        <f t="shared" si="1"/>
        <v>13.127807447839874</v>
      </c>
      <c r="U64">
        <f t="shared" si="5"/>
        <v>13.458307461432499</v>
      </c>
      <c r="V64" s="9"/>
      <c r="W64">
        <f t="shared" si="2"/>
        <v>1.6215278563024054</v>
      </c>
      <c r="X64" s="9"/>
      <c r="Y64" s="9">
        <f t="shared" si="3"/>
        <v>-0.3305000135926246</v>
      </c>
    </row>
    <row r="65" spans="1:25" x14ac:dyDescent="0.2">
      <c r="A65" s="11" t="s">
        <v>161</v>
      </c>
      <c r="B65" t="s">
        <v>144</v>
      </c>
      <c r="C65" t="s">
        <v>85</v>
      </c>
      <c r="D65">
        <v>378.90098491499901</v>
      </c>
      <c r="E65">
        <v>8.2132371409464895</v>
      </c>
      <c r="F65" s="9">
        <v>1412.8568375264099</v>
      </c>
      <c r="G65">
        <v>79.872064904950307</v>
      </c>
      <c r="H65">
        <v>17.688998515410098</v>
      </c>
      <c r="I65" s="9">
        <v>1271.4715309611399</v>
      </c>
      <c r="J65">
        <v>57.628339406812302</v>
      </c>
      <c r="K65">
        <v>22.063303299189698</v>
      </c>
      <c r="L65">
        <v>1.1111981693041799</v>
      </c>
      <c r="N65" s="9"/>
      <c r="P65" s="11"/>
      <c r="Q65">
        <f t="shared" si="4"/>
        <v>13.439256628367509</v>
      </c>
      <c r="R65">
        <f t="shared" si="0"/>
        <v>12.593145107650045</v>
      </c>
      <c r="S65" s="9"/>
      <c r="T65">
        <f t="shared" si="1"/>
        <v>11.27725662836751</v>
      </c>
      <c r="U65" s="11">
        <f t="shared" si="5"/>
        <v>11.695145107650045</v>
      </c>
      <c r="V65" s="11"/>
      <c r="W65">
        <f t="shared" si="2"/>
        <v>-0.14163449748004808</v>
      </c>
      <c r="X65" s="9"/>
      <c r="Y65" s="9">
        <f t="shared" si="3"/>
        <v>-0.41788847928253503</v>
      </c>
    </row>
    <row r="66" spans="1:25" x14ac:dyDescent="0.2">
      <c r="A66" s="11" t="s">
        <v>162</v>
      </c>
      <c r="B66" t="s">
        <v>145</v>
      </c>
      <c r="C66" t="s">
        <v>85</v>
      </c>
      <c r="D66">
        <v>437.71187682534003</v>
      </c>
      <c r="E66">
        <v>44.909405414230001</v>
      </c>
      <c r="F66" s="9">
        <v>521.568361523372</v>
      </c>
      <c r="G66">
        <v>71.454725151773104</v>
      </c>
      <c r="H66">
        <v>7.29928441282975</v>
      </c>
      <c r="I66" s="9">
        <v>421.634140186352</v>
      </c>
      <c r="J66">
        <v>49.058189011738897</v>
      </c>
      <c r="K66">
        <v>8.5945720516805402</v>
      </c>
      <c r="L66">
        <v>1.2370164363181</v>
      </c>
      <c r="N66" s="9"/>
      <c r="Q66" s="8">
        <f t="shared" si="4"/>
        <v>14.521223924929824</v>
      </c>
      <c r="R66" s="11">
        <f t="shared" si="0"/>
        <v>13.791572286550736</v>
      </c>
      <c r="T66" s="8">
        <f t="shared" si="1"/>
        <v>12.359223924929825</v>
      </c>
      <c r="U66" s="11">
        <f t="shared" si="5"/>
        <v>12.893572286550736</v>
      </c>
      <c r="W66" s="9">
        <f t="shared" si="2"/>
        <v>1.0567926814206423</v>
      </c>
      <c r="X66" s="11"/>
      <c r="Y66" s="9">
        <f t="shared" si="3"/>
        <v>-0.53434836162091059</v>
      </c>
    </row>
    <row r="67" spans="1:25" x14ac:dyDescent="0.2">
      <c r="A67" s="11" t="s">
        <v>163</v>
      </c>
      <c r="B67" t="s">
        <v>146</v>
      </c>
      <c r="C67" t="s">
        <v>85</v>
      </c>
      <c r="D67">
        <v>474.34081375984698</v>
      </c>
      <c r="E67">
        <v>226.385715464942</v>
      </c>
      <c r="F67" s="9">
        <v>1435.1816384019801</v>
      </c>
      <c r="G67">
        <v>79.710067086500501</v>
      </c>
      <c r="H67">
        <v>18.0050235918699</v>
      </c>
      <c r="I67" s="9">
        <v>1406.87300981775</v>
      </c>
      <c r="J67">
        <v>58.611605640293398</v>
      </c>
      <c r="K67">
        <v>24.003318019504501</v>
      </c>
      <c r="L67">
        <v>1.02012166584096</v>
      </c>
      <c r="N67" s="9"/>
      <c r="Q67" s="8">
        <f t="shared" ref="Q67" si="6">$N$7-2.5*LOG10(F67)</f>
        <v>13.422234849170193</v>
      </c>
      <c r="R67" s="11">
        <f t="shared" ref="R67" si="7">$N$4-2.5*LOG10(I67)</f>
        <v>12.483274463927263</v>
      </c>
      <c r="T67" s="8">
        <f t="shared" ref="T67" si="8">Q67-$N$10</f>
        <v>11.260234849170192</v>
      </c>
      <c r="U67" s="11">
        <f t="shared" si="5"/>
        <v>11.585274463927263</v>
      </c>
      <c r="W67" s="9">
        <f t="shared" ref="W67" si="9">U67-$N$19</f>
        <v>-0.25150514120283063</v>
      </c>
      <c r="X67" s="11"/>
      <c r="Y67" s="9">
        <f t="shared" ref="Y67:Y130" si="10">T67-U67</f>
        <v>-0.32503961475707044</v>
      </c>
    </row>
    <row r="68" spans="1:25" x14ac:dyDescent="0.2">
      <c r="A68" s="11" t="s">
        <v>244</v>
      </c>
      <c r="B68" t="s">
        <v>182</v>
      </c>
      <c r="C68" t="s">
        <v>85</v>
      </c>
      <c r="D68">
        <v>11.986506047057601</v>
      </c>
      <c r="E68">
        <v>286.68292318040199</v>
      </c>
      <c r="F68" s="9">
        <v>7177.3533680994396</v>
      </c>
      <c r="G68">
        <v>103.347578363455</v>
      </c>
      <c r="H68">
        <v>69.448684543511405</v>
      </c>
      <c r="I68" s="9">
        <v>5881.1524608918098</v>
      </c>
      <c r="J68">
        <v>85.825726860591601</v>
      </c>
      <c r="K68">
        <v>68.524353664311803</v>
      </c>
      <c r="L68">
        <v>1.22039913364379</v>
      </c>
      <c r="N68" s="9"/>
      <c r="Q68" s="8">
        <f t="shared" si="4"/>
        <v>11.674591200914337</v>
      </c>
      <c r="R68" s="11">
        <f t="shared" si="0"/>
        <v>10.930255613785441</v>
      </c>
      <c r="T68" s="8">
        <f t="shared" si="1"/>
        <v>9.5125912009143363</v>
      </c>
      <c r="U68" s="11">
        <f t="shared" ref="U68:U131" si="11">R68-$N$13</f>
        <v>10.032255613785441</v>
      </c>
      <c r="W68" s="9">
        <f t="shared" si="2"/>
        <v>-1.8045239913446522</v>
      </c>
      <c r="Y68" s="9">
        <f t="shared" si="10"/>
        <v>-0.51966441287110499</v>
      </c>
    </row>
    <row r="69" spans="1:25" x14ac:dyDescent="0.2">
      <c r="A69" s="11" t="s">
        <v>245</v>
      </c>
      <c r="B69" t="s">
        <v>183</v>
      </c>
      <c r="C69" t="s">
        <v>86</v>
      </c>
      <c r="D69">
        <v>45.543473174274197</v>
      </c>
      <c r="E69">
        <v>44.466252250954298</v>
      </c>
      <c r="F69" s="9">
        <v>10546.192162740999</v>
      </c>
      <c r="G69">
        <v>117.87630447530699</v>
      </c>
      <c r="H69">
        <v>89.468296530709694</v>
      </c>
      <c r="I69" s="9">
        <v>8971.5221479450902</v>
      </c>
      <c r="J69">
        <v>101.845794391764</v>
      </c>
      <c r="K69">
        <v>88.089274589335105</v>
      </c>
      <c r="L69">
        <v>1.1755187123019699</v>
      </c>
      <c r="N69" s="9"/>
      <c r="Q69" s="8">
        <f t="shared" ref="Q69:Q132" si="12">$N$7-2.5*LOG10(F69)</f>
        <v>11.25676282176045</v>
      </c>
      <c r="R69" s="11">
        <f t="shared" ref="R69:R132" si="13">$N$4-2.5*LOG10(I69)</f>
        <v>10.471746374868708</v>
      </c>
      <c r="T69" s="8">
        <f t="shared" ref="T69:T132" si="14">Q69-$N$10</f>
        <v>9.094762821760451</v>
      </c>
      <c r="U69" s="11">
        <f t="shared" si="11"/>
        <v>9.5737463748687084</v>
      </c>
      <c r="W69" s="9">
        <f t="shared" ref="W69:W132" si="15">U69-$N$19</f>
        <v>-2.2630332302613851</v>
      </c>
      <c r="Y69" s="9">
        <f t="shared" si="10"/>
        <v>-0.47898355310825735</v>
      </c>
    </row>
    <row r="70" spans="1:25" x14ac:dyDescent="0.2">
      <c r="A70" s="11" t="s">
        <v>246</v>
      </c>
      <c r="B70" t="s">
        <v>184</v>
      </c>
      <c r="C70" t="s">
        <v>86</v>
      </c>
      <c r="D70">
        <v>39.842521696251801</v>
      </c>
      <c r="E70">
        <v>274.91085112910503</v>
      </c>
      <c r="F70" s="9">
        <v>5767.4775437926701</v>
      </c>
      <c r="G70">
        <v>95.558446916917504</v>
      </c>
      <c r="H70">
        <v>60.355496869964298</v>
      </c>
      <c r="I70" s="9">
        <v>4925.7332678635803</v>
      </c>
      <c r="J70">
        <v>79.490147420144098</v>
      </c>
      <c r="K70">
        <v>61.966588661971898</v>
      </c>
      <c r="L70">
        <v>1.17088710048934</v>
      </c>
      <c r="N70" s="9"/>
      <c r="Q70" s="8">
        <f t="shared" si="12"/>
        <v>11.912037242111031</v>
      </c>
      <c r="R70" s="11">
        <f t="shared" si="13"/>
        <v>11.122734481969328</v>
      </c>
      <c r="T70" s="8">
        <f t="shared" si="14"/>
        <v>9.7500372421110306</v>
      </c>
      <c r="U70" s="11">
        <f t="shared" si="11"/>
        <v>10.224734481969328</v>
      </c>
      <c r="W70" s="9">
        <f t="shared" si="15"/>
        <v>-1.6120451231607653</v>
      </c>
      <c r="Y70" s="9">
        <f t="shared" si="10"/>
        <v>-0.47469723985829759</v>
      </c>
    </row>
    <row r="71" spans="1:25" x14ac:dyDescent="0.2">
      <c r="A71" s="11" t="s">
        <v>247</v>
      </c>
      <c r="B71" t="s">
        <v>185</v>
      </c>
      <c r="C71" t="s">
        <v>86</v>
      </c>
      <c r="D71">
        <v>84.691739443002902</v>
      </c>
      <c r="E71">
        <v>309.09950164174501</v>
      </c>
      <c r="F71" s="9">
        <v>24717.861498709699</v>
      </c>
      <c r="G71">
        <v>167.65431789225801</v>
      </c>
      <c r="H71">
        <v>147.433491779164</v>
      </c>
      <c r="I71" s="9">
        <v>28775.648959194499</v>
      </c>
      <c r="J71">
        <v>173.80493386226101</v>
      </c>
      <c r="K71">
        <v>165.56290042950599</v>
      </c>
      <c r="L71">
        <v>0.85898537106012895</v>
      </c>
      <c r="N71" s="9"/>
      <c r="Q71" s="8">
        <f t="shared" si="12"/>
        <v>10.331974786609829</v>
      </c>
      <c r="R71" s="11">
        <f t="shared" si="13"/>
        <v>9.2063488919326737</v>
      </c>
      <c r="T71" s="8">
        <f t="shared" si="14"/>
        <v>8.1699747866098278</v>
      </c>
      <c r="U71" s="11">
        <f t="shared" si="11"/>
        <v>8.308348891932674</v>
      </c>
      <c r="W71" s="9">
        <f t="shared" si="15"/>
        <v>-3.5284307131974195</v>
      </c>
      <c r="Y71" s="9">
        <f t="shared" si="10"/>
        <v>-0.13837410532284622</v>
      </c>
    </row>
    <row r="72" spans="1:25" x14ac:dyDescent="0.2">
      <c r="A72" s="11" t="s">
        <v>248</v>
      </c>
      <c r="B72" t="s">
        <v>186</v>
      </c>
      <c r="C72" t="s">
        <v>86</v>
      </c>
      <c r="D72">
        <v>47.041730279056402</v>
      </c>
      <c r="E72">
        <v>335.983751868551</v>
      </c>
      <c r="F72" s="9">
        <v>907.81670565045704</v>
      </c>
      <c r="G72">
        <v>65.957363103162294</v>
      </c>
      <c r="H72">
        <v>13.763690101294101</v>
      </c>
      <c r="I72" s="9">
        <v>904.14418445845899</v>
      </c>
      <c r="J72">
        <v>48.959478910011804</v>
      </c>
      <c r="K72">
        <v>18.467193781214199</v>
      </c>
      <c r="L72">
        <v>1.0040618755892301</v>
      </c>
      <c r="N72" s="9"/>
      <c r="Q72" s="8">
        <f t="shared" si="12"/>
        <v>13.919506596760291</v>
      </c>
      <c r="R72" s="11">
        <f t="shared" si="13"/>
        <v>12.963317475841208</v>
      </c>
      <c r="T72" s="8">
        <f t="shared" si="14"/>
        <v>11.75750659676029</v>
      </c>
      <c r="U72" s="11">
        <f t="shared" si="11"/>
        <v>12.065317475841209</v>
      </c>
      <c r="W72" s="9">
        <f t="shared" si="15"/>
        <v>0.22853787071111498</v>
      </c>
      <c r="Y72" s="9">
        <f t="shared" si="10"/>
        <v>-0.3078108790809182</v>
      </c>
    </row>
    <row r="73" spans="1:25" x14ac:dyDescent="0.2">
      <c r="A73" s="11" t="s">
        <v>249</v>
      </c>
      <c r="B73" t="s">
        <v>187</v>
      </c>
      <c r="C73" t="s">
        <v>86</v>
      </c>
      <c r="D73">
        <v>15.212465733766701</v>
      </c>
      <c r="E73">
        <v>345.728001748591</v>
      </c>
      <c r="F73" s="9">
        <v>756.98900396737599</v>
      </c>
      <c r="G73">
        <v>64.482455160660194</v>
      </c>
      <c r="H73">
        <v>11.7394569124471</v>
      </c>
      <c r="I73" s="9">
        <v>645.82902212450199</v>
      </c>
      <c r="J73">
        <v>45.563476819723597</v>
      </c>
      <c r="K73">
        <v>14.174269989969901</v>
      </c>
      <c r="L73">
        <v>1.17211983053534</v>
      </c>
      <c r="N73" s="9"/>
      <c r="Q73" s="8">
        <f t="shared" si="12"/>
        <v>14.116778095241969</v>
      </c>
      <c r="R73" s="11">
        <f t="shared" si="13"/>
        <v>13.328617815514995</v>
      </c>
      <c r="T73" s="8">
        <f t="shared" si="14"/>
        <v>11.95477809524197</v>
      </c>
      <c r="U73" s="11">
        <f t="shared" si="11"/>
        <v>12.430617815514996</v>
      </c>
      <c r="W73" s="9">
        <f t="shared" si="15"/>
        <v>0.59383821038490225</v>
      </c>
      <c r="Y73" s="9">
        <f t="shared" si="10"/>
        <v>-0.47583972027302579</v>
      </c>
    </row>
    <row r="74" spans="1:25" x14ac:dyDescent="0.2">
      <c r="A74" s="11" t="s">
        <v>250</v>
      </c>
      <c r="B74" t="s">
        <v>188</v>
      </c>
      <c r="C74" t="s">
        <v>85</v>
      </c>
      <c r="D74">
        <v>9.6275458200149693</v>
      </c>
      <c r="E74">
        <v>371.26781198682397</v>
      </c>
      <c r="F74" s="9">
        <v>398.046986806235</v>
      </c>
      <c r="G74">
        <v>62.786357863511</v>
      </c>
      <c r="H74">
        <v>6.3397049988396397</v>
      </c>
      <c r="I74" s="9">
        <v>476.42277474105299</v>
      </c>
      <c r="J74">
        <v>44.979916279748998</v>
      </c>
      <c r="K74">
        <v>10.5918999888301</v>
      </c>
      <c r="L74">
        <v>0.83549109721419801</v>
      </c>
      <c r="N74" s="9"/>
      <c r="Q74" s="8">
        <f t="shared" si="12"/>
        <v>14.81466617098204</v>
      </c>
      <c r="R74" s="11">
        <f t="shared" si="13"/>
        <v>13.658930423486101</v>
      </c>
      <c r="T74" s="8">
        <f t="shared" si="14"/>
        <v>12.652666170982041</v>
      </c>
      <c r="U74" s="11">
        <f t="shared" si="11"/>
        <v>12.760930423486101</v>
      </c>
      <c r="W74" s="9">
        <f t="shared" si="15"/>
        <v>0.92415081835600787</v>
      </c>
      <c r="Y74" s="9">
        <f t="shared" si="10"/>
        <v>-0.10826425250406047</v>
      </c>
    </row>
    <row r="75" spans="1:25" x14ac:dyDescent="0.2">
      <c r="A75" s="11" t="s">
        <v>251</v>
      </c>
      <c r="B75" t="s">
        <v>189</v>
      </c>
      <c r="C75" t="s">
        <v>85</v>
      </c>
      <c r="D75">
        <v>39.086651467153303</v>
      </c>
      <c r="E75">
        <v>373.59540862705001</v>
      </c>
      <c r="F75" s="9">
        <v>837.88828335979497</v>
      </c>
      <c r="G75">
        <v>65.177517797936204</v>
      </c>
      <c r="H75">
        <v>12.855480105232299</v>
      </c>
      <c r="I75" s="9">
        <v>1766.05072171437</v>
      </c>
      <c r="J75">
        <v>56.252364751065997</v>
      </c>
      <c r="K75">
        <v>31.395137422749901</v>
      </c>
      <c r="L75">
        <v>0.47444180003302699</v>
      </c>
      <c r="N75" s="9"/>
      <c r="Q75" s="8">
        <f t="shared" si="12"/>
        <v>14.00653672896023</v>
      </c>
      <c r="R75" s="11">
        <f t="shared" si="13"/>
        <v>12.236403777543241</v>
      </c>
      <c r="T75" s="8">
        <f t="shared" si="14"/>
        <v>11.844536728960229</v>
      </c>
      <c r="U75" s="11">
        <f t="shared" si="11"/>
        <v>11.338403777543242</v>
      </c>
      <c r="W75" s="9">
        <f t="shared" si="15"/>
        <v>-0.49837582758685173</v>
      </c>
      <c r="Y75" s="9">
        <f t="shared" si="10"/>
        <v>0.506132951416987</v>
      </c>
    </row>
    <row r="76" spans="1:25" x14ac:dyDescent="0.2">
      <c r="A76" s="11" t="s">
        <v>252</v>
      </c>
      <c r="B76" t="s">
        <v>190</v>
      </c>
      <c r="C76" t="s">
        <v>85</v>
      </c>
      <c r="D76">
        <v>164.421495434082</v>
      </c>
      <c r="E76">
        <v>363.82449678449098</v>
      </c>
      <c r="F76" s="9">
        <v>5415.3393023599701</v>
      </c>
      <c r="G76">
        <v>93.963230277455907</v>
      </c>
      <c r="H76">
        <v>57.632536539766399</v>
      </c>
      <c r="I76" s="9">
        <v>5324.3921979323004</v>
      </c>
      <c r="J76">
        <v>82.0486299318368</v>
      </c>
      <c r="K76">
        <v>64.893127433762501</v>
      </c>
      <c r="L76">
        <v>1.0170812181084199</v>
      </c>
      <c r="N76" s="9"/>
      <c r="Q76" s="8">
        <f t="shared" si="12"/>
        <v>11.980437840493929</v>
      </c>
      <c r="R76" s="11">
        <f t="shared" si="13"/>
        <v>11.038236612957938</v>
      </c>
      <c r="T76" s="8">
        <f t="shared" si="14"/>
        <v>9.8184378404939281</v>
      </c>
      <c r="U76" s="11">
        <f t="shared" si="11"/>
        <v>10.140236612957938</v>
      </c>
      <c r="W76" s="9">
        <f t="shared" si="15"/>
        <v>-1.6965429921721551</v>
      </c>
      <c r="Y76" s="9">
        <f t="shared" si="10"/>
        <v>-0.32179877246401034</v>
      </c>
    </row>
    <row r="77" spans="1:25" x14ac:dyDescent="0.2">
      <c r="A77" s="11" t="s">
        <v>253</v>
      </c>
      <c r="B77" t="s">
        <v>191</v>
      </c>
      <c r="C77" t="s">
        <v>85</v>
      </c>
      <c r="D77">
        <v>171.40012767238301</v>
      </c>
      <c r="E77">
        <v>326.45957539525602</v>
      </c>
      <c r="F77" s="9">
        <v>1069.49381029757</v>
      </c>
      <c r="G77">
        <v>66.917403619713497</v>
      </c>
      <c r="H77">
        <v>15.9822968681724</v>
      </c>
      <c r="I77" s="9">
        <v>1407.87201919112</v>
      </c>
      <c r="J77">
        <v>53.370522861319998</v>
      </c>
      <c r="K77">
        <v>26.379206043182201</v>
      </c>
      <c r="L77">
        <v>0.75965272107051096</v>
      </c>
      <c r="N77" s="9"/>
      <c r="Q77" s="8">
        <f t="shared" si="12"/>
        <v>13.741556334106084</v>
      </c>
      <c r="R77" s="11">
        <f t="shared" si="13"/>
        <v>12.482503764855107</v>
      </c>
      <c r="T77" s="8">
        <f t="shared" si="14"/>
        <v>11.579556334106083</v>
      </c>
      <c r="U77" s="11">
        <f t="shared" si="11"/>
        <v>11.584503764855107</v>
      </c>
      <c r="W77" s="9">
        <f t="shared" si="15"/>
        <v>-0.25227584027498651</v>
      </c>
      <c r="Y77" s="9">
        <f t="shared" si="10"/>
        <v>-4.9474307490235958E-3</v>
      </c>
    </row>
    <row r="78" spans="1:25" x14ac:dyDescent="0.2">
      <c r="A78" s="11" t="s">
        <v>254</v>
      </c>
      <c r="B78" t="s">
        <v>192</v>
      </c>
      <c r="C78" t="s">
        <v>85</v>
      </c>
      <c r="D78">
        <v>138.59647639097699</v>
      </c>
      <c r="E78">
        <v>300.15398910241601</v>
      </c>
      <c r="F78" s="9">
        <v>926.33240509636596</v>
      </c>
      <c r="G78">
        <v>65.446342339285806</v>
      </c>
      <c r="H78">
        <v>14.154074498068701</v>
      </c>
      <c r="I78" s="9">
        <v>978.46933524055396</v>
      </c>
      <c r="J78">
        <v>48.370001893961003</v>
      </c>
      <c r="K78">
        <v>20.228846328879602</v>
      </c>
      <c r="L78">
        <v>0.94671582617214001</v>
      </c>
      <c r="N78" s="9"/>
      <c r="Q78" s="8">
        <f t="shared" si="12"/>
        <v>13.897584880511427</v>
      </c>
      <c r="R78" s="11">
        <f t="shared" si="13"/>
        <v>12.877543659825644</v>
      </c>
      <c r="T78" s="8">
        <f t="shared" si="14"/>
        <v>11.735584880511428</v>
      </c>
      <c r="U78" s="11">
        <f t="shared" si="11"/>
        <v>11.979543659825644</v>
      </c>
      <c r="W78" s="9">
        <f t="shared" si="15"/>
        <v>0.14276405469555087</v>
      </c>
      <c r="Y78" s="9">
        <f t="shared" si="10"/>
        <v>-0.24395877931421595</v>
      </c>
    </row>
    <row r="79" spans="1:25" x14ac:dyDescent="0.2">
      <c r="A79" s="11" t="s">
        <v>255</v>
      </c>
      <c r="B79" t="s">
        <v>193</v>
      </c>
      <c r="C79" t="s">
        <v>85</v>
      </c>
      <c r="D79">
        <v>193.12011283501201</v>
      </c>
      <c r="E79">
        <v>264.66002169941203</v>
      </c>
      <c r="F79" s="9">
        <v>977.382240110814</v>
      </c>
      <c r="G79">
        <v>65.686862213323494</v>
      </c>
      <c r="H79">
        <v>14.879417393034901</v>
      </c>
      <c r="I79" s="9">
        <v>1721.98382907473</v>
      </c>
      <c r="J79">
        <v>55.382519494522199</v>
      </c>
      <c r="K79">
        <v>31.092551310256901</v>
      </c>
      <c r="L79">
        <v>0.56759083541219102</v>
      </c>
      <c r="N79" s="9"/>
      <c r="Q79" s="8">
        <f t="shared" si="12"/>
        <v>13.839340914553503</v>
      </c>
      <c r="R79" s="11">
        <f t="shared" si="13"/>
        <v>12.263839037057156</v>
      </c>
      <c r="T79" s="8">
        <f t="shared" si="14"/>
        <v>11.677340914553504</v>
      </c>
      <c r="U79" s="11">
        <f t="shared" si="11"/>
        <v>11.365839037057157</v>
      </c>
      <c r="W79" s="9">
        <f t="shared" si="15"/>
        <v>-0.47094056807293683</v>
      </c>
      <c r="Y79" s="9">
        <f t="shared" si="10"/>
        <v>0.31150187749634739</v>
      </c>
    </row>
    <row r="80" spans="1:25" x14ac:dyDescent="0.2">
      <c r="A80" s="11" t="s">
        <v>256</v>
      </c>
      <c r="B80" t="s">
        <v>194</v>
      </c>
      <c r="C80" t="s">
        <v>85</v>
      </c>
      <c r="D80">
        <v>157.58253834446401</v>
      </c>
      <c r="E80">
        <v>232.642959261436</v>
      </c>
      <c r="F80" s="9">
        <v>4603.0549966140898</v>
      </c>
      <c r="G80">
        <v>89.037964245131803</v>
      </c>
      <c r="H80">
        <v>51.697666671054499</v>
      </c>
      <c r="I80" s="9">
        <v>3904.1312044466199</v>
      </c>
      <c r="J80">
        <v>72.536449388970297</v>
      </c>
      <c r="K80">
        <v>53.823026041860103</v>
      </c>
      <c r="L80">
        <v>1.17902159419525</v>
      </c>
      <c r="N80" s="9"/>
      <c r="Q80" s="8">
        <f t="shared" si="12"/>
        <v>12.156886613161182</v>
      </c>
      <c r="R80" s="11">
        <f t="shared" si="13"/>
        <v>11.375100697926008</v>
      </c>
      <c r="T80" s="8">
        <f t="shared" si="14"/>
        <v>9.9948866131611815</v>
      </c>
      <c r="U80" s="11">
        <f t="shared" si="11"/>
        <v>10.477100697926009</v>
      </c>
      <c r="W80" s="9">
        <f t="shared" si="15"/>
        <v>-1.3596789072040849</v>
      </c>
      <c r="Y80" s="9">
        <f t="shared" si="10"/>
        <v>-0.48221408476482708</v>
      </c>
    </row>
    <row r="81" spans="1:25" x14ac:dyDescent="0.2">
      <c r="A81" s="11" t="s">
        <v>257</v>
      </c>
      <c r="B81" t="s">
        <v>195</v>
      </c>
      <c r="C81" t="s">
        <v>85</v>
      </c>
      <c r="D81">
        <v>108.078923540102</v>
      </c>
      <c r="E81">
        <v>199.59490862051101</v>
      </c>
      <c r="F81" s="9">
        <v>7254.4673228112897</v>
      </c>
      <c r="G81">
        <v>102.875452784052</v>
      </c>
      <c r="H81">
        <v>70.516990462625003</v>
      </c>
      <c r="I81" s="9">
        <v>5867.8563064506498</v>
      </c>
      <c r="J81">
        <v>85.099524479933606</v>
      </c>
      <c r="K81">
        <v>68.9528683304721</v>
      </c>
      <c r="L81">
        <v>1.2363062324543099</v>
      </c>
      <c r="N81" s="9"/>
      <c r="Q81" s="8">
        <f t="shared" si="12"/>
        <v>11.662988200690224</v>
      </c>
      <c r="R81" s="11">
        <f t="shared" si="13"/>
        <v>10.932713033421344</v>
      </c>
      <c r="T81" s="8">
        <f t="shared" si="14"/>
        <v>9.5009882006902231</v>
      </c>
      <c r="U81" s="11">
        <f t="shared" si="11"/>
        <v>10.034713033421344</v>
      </c>
      <c r="W81" s="9">
        <f t="shared" si="15"/>
        <v>-1.8020665717087496</v>
      </c>
      <c r="Y81" s="9">
        <f t="shared" si="10"/>
        <v>-0.53372483273112081</v>
      </c>
    </row>
    <row r="82" spans="1:25" x14ac:dyDescent="0.2">
      <c r="A82" s="11" t="s">
        <v>258</v>
      </c>
      <c r="B82" t="s">
        <v>196</v>
      </c>
      <c r="C82" t="s">
        <v>85</v>
      </c>
      <c r="D82">
        <v>161.47623723240301</v>
      </c>
      <c r="E82">
        <v>142.25602176842</v>
      </c>
      <c r="F82" s="9">
        <v>38877.181124629598</v>
      </c>
      <c r="G82">
        <v>205.76711237471801</v>
      </c>
      <c r="H82">
        <v>188.937778617562</v>
      </c>
      <c r="I82" s="9">
        <v>32554.4079526565</v>
      </c>
      <c r="J82">
        <v>184.39608199719299</v>
      </c>
      <c r="K82">
        <v>176.54609360491699</v>
      </c>
      <c r="L82">
        <v>1.1942217220220399</v>
      </c>
      <c r="N82" s="9"/>
      <c r="Q82" s="8">
        <f t="shared" si="12"/>
        <v>9.8402651028854748</v>
      </c>
      <c r="R82" s="11">
        <f t="shared" si="13"/>
        <v>9.0723872051335697</v>
      </c>
      <c r="T82" s="8">
        <f t="shared" si="14"/>
        <v>7.6782651028854749</v>
      </c>
      <c r="U82" s="11">
        <f t="shared" si="11"/>
        <v>8.17438720513357</v>
      </c>
      <c r="W82" s="9">
        <f t="shared" si="15"/>
        <v>-3.6623923999965236</v>
      </c>
      <c r="Y82" s="9">
        <f t="shared" si="10"/>
        <v>-0.49612210224809505</v>
      </c>
    </row>
    <row r="83" spans="1:25" x14ac:dyDescent="0.2">
      <c r="A83" s="11" t="s">
        <v>259</v>
      </c>
      <c r="B83" t="s">
        <v>197</v>
      </c>
      <c r="C83" t="s">
        <v>85</v>
      </c>
      <c r="D83">
        <v>131.04112715836399</v>
      </c>
      <c r="E83">
        <v>137.56664802677801</v>
      </c>
      <c r="F83" s="9">
        <v>9398.0989490103093</v>
      </c>
      <c r="G83">
        <v>112.853352423609</v>
      </c>
      <c r="H83">
        <v>83.277091439280895</v>
      </c>
      <c r="I83" s="9">
        <v>8037.3373464618999</v>
      </c>
      <c r="J83">
        <v>97.234222597686397</v>
      </c>
      <c r="K83">
        <v>82.659552693879704</v>
      </c>
      <c r="L83">
        <v>1.1693050252702599</v>
      </c>
      <c r="N83" s="9"/>
      <c r="Q83" s="8">
        <f t="shared" si="12"/>
        <v>11.381901989606568</v>
      </c>
      <c r="R83" s="11">
        <f t="shared" si="13"/>
        <v>10.591131216145126</v>
      </c>
      <c r="T83" s="8">
        <f t="shared" si="14"/>
        <v>9.2199019896065693</v>
      </c>
      <c r="U83" s="11">
        <f t="shared" si="11"/>
        <v>9.693131216145126</v>
      </c>
      <c r="W83" s="9">
        <f t="shared" si="15"/>
        <v>-2.1436483889849676</v>
      </c>
      <c r="Y83" s="9">
        <f t="shared" si="10"/>
        <v>-0.4732292265385567</v>
      </c>
    </row>
    <row r="84" spans="1:25" x14ac:dyDescent="0.2">
      <c r="A84" s="11" t="s">
        <v>260</v>
      </c>
      <c r="B84" t="s">
        <v>198</v>
      </c>
      <c r="C84" t="s">
        <v>85</v>
      </c>
      <c r="D84">
        <v>110.395278624792</v>
      </c>
      <c r="E84">
        <v>158.487770060636</v>
      </c>
      <c r="F84" s="9">
        <v>3094.65728073026</v>
      </c>
      <c r="G84">
        <v>80.403653212048695</v>
      </c>
      <c r="H84">
        <v>38.489013335858203</v>
      </c>
      <c r="I84" s="9">
        <v>2621.1440062759598</v>
      </c>
      <c r="J84">
        <v>63.273491361328297</v>
      </c>
      <c r="K84">
        <v>41.425626275428797</v>
      </c>
      <c r="L84">
        <v>1.1806513771546101</v>
      </c>
      <c r="N84" s="9"/>
      <c r="Q84" s="8">
        <f t="shared" si="12"/>
        <v>12.587970623004283</v>
      </c>
      <c r="R84" s="11">
        <f t="shared" si="13"/>
        <v>11.807684504281365</v>
      </c>
      <c r="T84" s="8">
        <f t="shared" si="14"/>
        <v>10.425970623004282</v>
      </c>
      <c r="U84" s="11">
        <f t="shared" si="11"/>
        <v>10.909684504281365</v>
      </c>
      <c r="W84" s="9">
        <f t="shared" si="15"/>
        <v>-0.92709510084872804</v>
      </c>
      <c r="Y84" s="9">
        <f t="shared" si="10"/>
        <v>-0.48371388127708315</v>
      </c>
    </row>
    <row r="85" spans="1:25" x14ac:dyDescent="0.2">
      <c r="A85" s="11" t="s">
        <v>261</v>
      </c>
      <c r="B85" t="s">
        <v>199</v>
      </c>
      <c r="C85" t="s">
        <v>85</v>
      </c>
      <c r="D85">
        <v>77.165307630839195</v>
      </c>
      <c r="E85">
        <v>181.89545893411901</v>
      </c>
      <c r="F85" s="9">
        <v>1099.8976955396399</v>
      </c>
      <c r="G85">
        <v>66.333363947665603</v>
      </c>
      <c r="H85">
        <v>16.5813646418929</v>
      </c>
      <c r="I85" s="9">
        <v>1030.2731317058101</v>
      </c>
      <c r="J85">
        <v>49.357221364744397</v>
      </c>
      <c r="K85">
        <v>20.873807382555199</v>
      </c>
      <c r="L85">
        <v>1.06757874362747</v>
      </c>
      <c r="N85" s="9"/>
      <c r="Q85" s="8">
        <f t="shared" si="12"/>
        <v>13.71112129235771</v>
      </c>
      <c r="R85" s="11">
        <f t="shared" si="13"/>
        <v>12.821530773663531</v>
      </c>
      <c r="T85" s="8">
        <f t="shared" si="14"/>
        <v>11.549121292357711</v>
      </c>
      <c r="U85" s="11">
        <f t="shared" si="11"/>
        <v>11.923530773663531</v>
      </c>
      <c r="W85" s="9">
        <f t="shared" si="15"/>
        <v>8.675116853343745E-2</v>
      </c>
      <c r="Y85" s="9">
        <f t="shared" si="10"/>
        <v>-0.37440948130582008</v>
      </c>
    </row>
    <row r="86" spans="1:25" x14ac:dyDescent="0.2">
      <c r="A86" s="11" t="s">
        <v>262</v>
      </c>
      <c r="B86" t="s">
        <v>200</v>
      </c>
      <c r="C86" t="s">
        <v>85</v>
      </c>
      <c r="D86">
        <v>33.189030355533397</v>
      </c>
      <c r="E86">
        <v>174.14767024330899</v>
      </c>
      <c r="F86" s="9">
        <v>2122.9169101432899</v>
      </c>
      <c r="G86">
        <v>73.737270170534003</v>
      </c>
      <c r="H86">
        <v>28.7902834649773</v>
      </c>
      <c r="I86" s="9">
        <v>1738.96228578931</v>
      </c>
      <c r="J86">
        <v>55.536771951047101</v>
      </c>
      <c r="K86">
        <v>31.311907853091</v>
      </c>
      <c r="L86">
        <v>1.22079525674111</v>
      </c>
      <c r="N86" s="9"/>
      <c r="Q86" s="8">
        <f t="shared" si="12"/>
        <v>12.997169531587916</v>
      </c>
      <c r="R86" s="11">
        <f t="shared" si="13"/>
        <v>12.25318630082505</v>
      </c>
      <c r="T86" s="8">
        <f t="shared" si="14"/>
        <v>10.835169531587916</v>
      </c>
      <c r="U86" s="11">
        <f t="shared" si="11"/>
        <v>11.35518630082505</v>
      </c>
      <c r="W86" s="9">
        <f t="shared" si="15"/>
        <v>-0.48159330430504355</v>
      </c>
      <c r="Y86" s="9">
        <f t="shared" si="10"/>
        <v>-0.52001676923713447</v>
      </c>
    </row>
    <row r="87" spans="1:25" x14ac:dyDescent="0.2">
      <c r="A87" s="11" t="s">
        <v>263</v>
      </c>
      <c r="B87" t="s">
        <v>201</v>
      </c>
      <c r="C87" t="s">
        <v>85</v>
      </c>
      <c r="D87">
        <v>4.0932093676313297</v>
      </c>
      <c r="E87">
        <v>150.66192638218999</v>
      </c>
      <c r="F87" s="9">
        <v>9735.8697248068602</v>
      </c>
      <c r="G87">
        <v>113.66248832923399</v>
      </c>
      <c r="H87">
        <v>85.655961504256098</v>
      </c>
      <c r="I87" s="9">
        <v>7210.6409350640997</v>
      </c>
      <c r="J87">
        <v>92.266921254719193</v>
      </c>
      <c r="K87">
        <v>78.1497944984838</v>
      </c>
      <c r="L87">
        <v>1.35020864476318</v>
      </c>
      <c r="N87" s="9"/>
      <c r="Q87" s="8">
        <f t="shared" si="12"/>
        <v>11.343565137718187</v>
      </c>
      <c r="R87" s="11">
        <f t="shared" si="13"/>
        <v>10.708977034545045</v>
      </c>
      <c r="T87" s="8">
        <f t="shared" si="14"/>
        <v>9.1815651377181879</v>
      </c>
      <c r="U87" s="11">
        <f t="shared" si="11"/>
        <v>9.8109770345450453</v>
      </c>
      <c r="W87" s="9">
        <f t="shared" si="15"/>
        <v>-2.0258025705850482</v>
      </c>
      <c r="Y87" s="9">
        <f t="shared" si="10"/>
        <v>-0.62941189682685739</v>
      </c>
    </row>
    <row r="88" spans="1:25" x14ac:dyDescent="0.2">
      <c r="A88" s="11" t="s">
        <v>264</v>
      </c>
      <c r="B88" t="s">
        <v>202</v>
      </c>
      <c r="C88" t="s">
        <v>85</v>
      </c>
      <c r="D88">
        <v>5.7543823316790599</v>
      </c>
      <c r="E88">
        <v>197.54103632322699</v>
      </c>
      <c r="F88" s="9">
        <v>43345.334657501699</v>
      </c>
      <c r="G88">
        <v>216.74221570682101</v>
      </c>
      <c r="H88">
        <v>199.98565815223199</v>
      </c>
      <c r="I88" s="9">
        <v>37440.683387952799</v>
      </c>
      <c r="J88">
        <v>197.604950414358</v>
      </c>
      <c r="K88">
        <v>189.47239585568701</v>
      </c>
      <c r="L88">
        <v>1.1577068241080399</v>
      </c>
      <c r="N88" s="9"/>
      <c r="Q88" s="8">
        <f t="shared" si="12"/>
        <v>9.7221461217637177</v>
      </c>
      <c r="R88" s="11">
        <f t="shared" si="13"/>
        <v>8.9205522910916013</v>
      </c>
      <c r="T88" s="8">
        <f t="shared" si="14"/>
        <v>7.5601461217637178</v>
      </c>
      <c r="U88" s="11">
        <f t="shared" si="11"/>
        <v>8.0225522910916016</v>
      </c>
      <c r="W88" s="9">
        <f t="shared" si="15"/>
        <v>-3.8142273140384919</v>
      </c>
      <c r="Y88" s="9">
        <f t="shared" si="10"/>
        <v>-0.46240616932788381</v>
      </c>
    </row>
    <row r="89" spans="1:25" x14ac:dyDescent="0.2">
      <c r="A89" s="11" t="s">
        <v>265</v>
      </c>
      <c r="B89" t="s">
        <v>203</v>
      </c>
      <c r="C89" t="s">
        <v>85</v>
      </c>
      <c r="D89">
        <v>10.8340854230626</v>
      </c>
      <c r="E89">
        <v>227.87026419533001</v>
      </c>
      <c r="F89" s="9">
        <v>142619.85833212</v>
      </c>
      <c r="G89">
        <v>382.56186881938999</v>
      </c>
      <c r="H89">
        <v>372.80207453046597</v>
      </c>
      <c r="I89" s="9">
        <v>131450.000831132</v>
      </c>
      <c r="J89">
        <v>364.86421940380899</v>
      </c>
      <c r="K89">
        <v>360.271009982625</v>
      </c>
      <c r="L89">
        <v>1.0849741911781099</v>
      </c>
      <c r="N89" s="9"/>
      <c r="Q89" s="8">
        <f t="shared" si="12"/>
        <v>8.4290520208966306</v>
      </c>
      <c r="R89" s="11">
        <f t="shared" si="13"/>
        <v>7.5570102259213598</v>
      </c>
      <c r="T89" s="8">
        <f t="shared" si="14"/>
        <v>6.2670520208966307</v>
      </c>
      <c r="U89" s="11">
        <f t="shared" si="11"/>
        <v>6.6590102259213602</v>
      </c>
      <c r="W89" s="9">
        <f t="shared" si="15"/>
        <v>-5.1777693792087334</v>
      </c>
      <c r="Y89" s="9">
        <f t="shared" si="10"/>
        <v>-0.39195820502472944</v>
      </c>
    </row>
    <row r="90" spans="1:25" x14ac:dyDescent="0.2">
      <c r="A90" s="11" t="s">
        <v>266</v>
      </c>
      <c r="B90" t="s">
        <v>204</v>
      </c>
      <c r="C90" t="s">
        <v>85</v>
      </c>
      <c r="D90">
        <v>277.96472442809102</v>
      </c>
      <c r="E90">
        <v>298.52245276890102</v>
      </c>
      <c r="F90" s="9">
        <v>1002.55788641886</v>
      </c>
      <c r="G90">
        <v>66.843813126654396</v>
      </c>
      <c r="H90">
        <v>14.998514290608099</v>
      </c>
      <c r="I90" s="9">
        <v>995.40852113293204</v>
      </c>
      <c r="J90">
        <v>49.172931006751</v>
      </c>
      <c r="K90">
        <v>20.243017870874301</v>
      </c>
      <c r="L90">
        <v>1.00718234286139</v>
      </c>
      <c r="N90" s="9"/>
      <c r="Q90" s="8">
        <f t="shared" si="12"/>
        <v>13.811728378618024</v>
      </c>
      <c r="R90" s="11">
        <f t="shared" si="13"/>
        <v>12.858908323454944</v>
      </c>
      <c r="T90" s="8">
        <f t="shared" si="14"/>
        <v>11.649728378618025</v>
      </c>
      <c r="U90" s="11">
        <f t="shared" si="11"/>
        <v>11.960908323454944</v>
      </c>
      <c r="W90" s="9">
        <f t="shared" si="15"/>
        <v>0.12412871832485095</v>
      </c>
      <c r="Y90" s="9">
        <f t="shared" si="10"/>
        <v>-0.31117994483691902</v>
      </c>
    </row>
    <row r="91" spans="1:25" x14ac:dyDescent="0.2">
      <c r="A91" s="11" t="s">
        <v>267</v>
      </c>
      <c r="B91" t="s">
        <v>205</v>
      </c>
      <c r="C91" t="s">
        <v>85</v>
      </c>
      <c r="D91">
        <v>307.12335150394</v>
      </c>
      <c r="E91">
        <v>313.702591411779</v>
      </c>
      <c r="F91" s="9">
        <v>698.35883118977495</v>
      </c>
      <c r="G91">
        <v>63.977470715629998</v>
      </c>
      <c r="H91">
        <v>10.915699282546999</v>
      </c>
      <c r="I91" s="9">
        <v>732.12535497809597</v>
      </c>
      <c r="J91">
        <v>46.528206806699302</v>
      </c>
      <c r="K91">
        <v>15.735086418002201</v>
      </c>
      <c r="L91">
        <v>0.95387876740134003</v>
      </c>
      <c r="N91" s="9"/>
      <c r="Q91" s="8">
        <f t="shared" si="12"/>
        <v>14.204305449072891</v>
      </c>
      <c r="R91" s="11">
        <f t="shared" si="13"/>
        <v>13.192448089872283</v>
      </c>
      <c r="T91" s="8">
        <f t="shared" si="14"/>
        <v>12.042305449072892</v>
      </c>
      <c r="U91" s="11">
        <f t="shared" si="11"/>
        <v>12.294448089872283</v>
      </c>
      <c r="W91" s="9">
        <f t="shared" si="15"/>
        <v>0.45766848474218946</v>
      </c>
      <c r="Y91" s="9">
        <f t="shared" si="10"/>
        <v>-0.25214264079939142</v>
      </c>
    </row>
    <row r="92" spans="1:25" x14ac:dyDescent="0.2">
      <c r="A92" s="11" t="s">
        <v>268</v>
      </c>
      <c r="B92" t="s">
        <v>206</v>
      </c>
      <c r="C92" t="s">
        <v>85</v>
      </c>
      <c r="D92">
        <v>347.337521236969</v>
      </c>
      <c r="E92">
        <v>269.22654879018302</v>
      </c>
      <c r="F92" s="9">
        <v>374.147298006894</v>
      </c>
      <c r="G92">
        <v>61.449024541443301</v>
      </c>
      <c r="H92">
        <v>6.0887426740933304</v>
      </c>
      <c r="I92" s="9">
        <v>470.46089500644598</v>
      </c>
      <c r="J92">
        <v>43.030558117878499</v>
      </c>
      <c r="K92">
        <v>10.9331813386584</v>
      </c>
      <c r="L92">
        <v>0.79527820904597801</v>
      </c>
      <c r="N92" s="9"/>
      <c r="Q92" s="8">
        <f t="shared" si="12"/>
        <v>14.881895489662305</v>
      </c>
      <c r="R92" s="11">
        <f t="shared" si="13"/>
        <v>13.672602882782197</v>
      </c>
      <c r="T92" s="8">
        <f t="shared" si="14"/>
        <v>12.719895489662306</v>
      </c>
      <c r="U92" s="11">
        <f t="shared" si="11"/>
        <v>12.774602882782197</v>
      </c>
      <c r="W92" s="9">
        <f t="shared" si="15"/>
        <v>0.93782327765210383</v>
      </c>
      <c r="Y92" s="9">
        <f t="shared" si="10"/>
        <v>-5.4707393119890924E-2</v>
      </c>
    </row>
    <row r="93" spans="1:25" x14ac:dyDescent="0.2">
      <c r="A93" s="11" t="s">
        <v>269</v>
      </c>
      <c r="B93" t="s">
        <v>207</v>
      </c>
      <c r="C93" t="s">
        <v>85</v>
      </c>
      <c r="D93">
        <v>253.155637558644</v>
      </c>
      <c r="E93">
        <v>259.805343203132</v>
      </c>
      <c r="F93" s="9">
        <v>421.29108624717003</v>
      </c>
      <c r="G93">
        <v>61.770330192379198</v>
      </c>
      <c r="H93">
        <v>6.8202822444868003</v>
      </c>
      <c r="I93" s="9">
        <v>477.431943061612</v>
      </c>
      <c r="J93">
        <v>43.709712341433203</v>
      </c>
      <c r="K93">
        <v>10.922788494516</v>
      </c>
      <c r="L93">
        <v>0.88241076528221096</v>
      </c>
      <c r="N93" s="9"/>
      <c r="Q93" s="8">
        <f t="shared" si="12"/>
        <v>14.753046346830155</v>
      </c>
      <c r="R93" s="11">
        <f t="shared" si="13"/>
        <v>13.656633027518573</v>
      </c>
      <c r="T93" s="8">
        <f t="shared" si="14"/>
        <v>12.591046346830154</v>
      </c>
      <c r="U93" s="11">
        <f t="shared" si="11"/>
        <v>12.758633027518574</v>
      </c>
      <c r="W93" s="9">
        <f t="shared" si="15"/>
        <v>0.92185342238848023</v>
      </c>
      <c r="Y93" s="9">
        <f t="shared" si="10"/>
        <v>-0.16758668068841942</v>
      </c>
    </row>
    <row r="94" spans="1:25" x14ac:dyDescent="0.2">
      <c r="A94" s="11" t="s">
        <v>270</v>
      </c>
      <c r="B94" t="s">
        <v>208</v>
      </c>
      <c r="C94" t="s">
        <v>85</v>
      </c>
      <c r="D94">
        <v>300.855655725985</v>
      </c>
      <c r="E94">
        <v>202.654625266301</v>
      </c>
      <c r="F94" s="9">
        <v>1745.6714377743201</v>
      </c>
      <c r="G94">
        <v>72.029329994498994</v>
      </c>
      <c r="H94">
        <v>24.235564011322101</v>
      </c>
      <c r="I94" s="9">
        <v>1527.13159566423</v>
      </c>
      <c r="J94">
        <v>54.727945053189103</v>
      </c>
      <c r="K94">
        <v>27.9040551254032</v>
      </c>
      <c r="L94">
        <v>1.14310478725642</v>
      </c>
      <c r="N94" s="9"/>
      <c r="Q94" s="8">
        <f t="shared" si="12"/>
        <v>13.209595757295391</v>
      </c>
      <c r="R94" s="11">
        <f t="shared" si="13"/>
        <v>12.394220552386823</v>
      </c>
      <c r="T94" s="8">
        <f t="shared" si="14"/>
        <v>11.04759575729539</v>
      </c>
      <c r="U94" s="11">
        <f t="shared" si="11"/>
        <v>11.496220552386823</v>
      </c>
      <c r="W94" s="9">
        <f t="shared" si="15"/>
        <v>-0.34055905274327003</v>
      </c>
      <c r="Y94" s="9">
        <f t="shared" si="10"/>
        <v>-0.44862479509143327</v>
      </c>
    </row>
    <row r="95" spans="1:25" x14ac:dyDescent="0.2">
      <c r="A95" s="11" t="s">
        <v>271</v>
      </c>
      <c r="B95" t="s">
        <v>209</v>
      </c>
      <c r="C95" t="s">
        <v>85</v>
      </c>
      <c r="D95">
        <v>309.54711784609799</v>
      </c>
      <c r="E95">
        <v>218.27169980200799</v>
      </c>
      <c r="F95" s="9">
        <v>643.23664528127097</v>
      </c>
      <c r="G95">
        <v>63.744967485812801</v>
      </c>
      <c r="H95">
        <v>10.0907831731882</v>
      </c>
      <c r="I95" s="9">
        <v>634.33691482274503</v>
      </c>
      <c r="J95">
        <v>45.261177181098901</v>
      </c>
      <c r="K95">
        <v>14.0150335084003</v>
      </c>
      <c r="L95">
        <v>1.01402997405726</v>
      </c>
      <c r="N95" s="9"/>
      <c r="Q95" s="8">
        <f t="shared" si="12"/>
        <v>14.293575077031951</v>
      </c>
      <c r="R95" s="11">
        <f t="shared" si="13"/>
        <v>13.3481117448502</v>
      </c>
      <c r="T95" s="8">
        <f t="shared" si="14"/>
        <v>12.13157507703195</v>
      </c>
      <c r="U95" s="11">
        <f t="shared" si="11"/>
        <v>12.450111744850201</v>
      </c>
      <c r="W95" s="9">
        <f t="shared" si="15"/>
        <v>0.61333213972010725</v>
      </c>
      <c r="Y95" s="9">
        <f t="shared" si="10"/>
        <v>-0.31853666781825041</v>
      </c>
    </row>
    <row r="96" spans="1:25" x14ac:dyDescent="0.2">
      <c r="A96" s="11" t="s">
        <v>272</v>
      </c>
      <c r="B96" t="s">
        <v>210</v>
      </c>
      <c r="C96" t="s">
        <v>85</v>
      </c>
      <c r="D96">
        <v>390.94157682411497</v>
      </c>
      <c r="E96">
        <v>217.55340160368101</v>
      </c>
      <c r="F96" s="9">
        <v>1168.1903784765</v>
      </c>
      <c r="G96">
        <v>68.298560578272898</v>
      </c>
      <c r="H96">
        <v>17.104172746623401</v>
      </c>
      <c r="I96" s="9">
        <v>1299.4072893514799</v>
      </c>
      <c r="J96">
        <v>52.831800061983103</v>
      </c>
      <c r="K96">
        <v>24.595173509647498</v>
      </c>
      <c r="L96">
        <v>0.89901787380270703</v>
      </c>
      <c r="N96" s="9"/>
      <c r="Q96" s="8">
        <f t="shared" si="12"/>
        <v>13.645717960300944</v>
      </c>
      <c r="R96" s="11">
        <f t="shared" si="13"/>
        <v>12.56954846209187</v>
      </c>
      <c r="T96" s="8">
        <f t="shared" si="14"/>
        <v>11.483717960300943</v>
      </c>
      <c r="U96" s="11">
        <f t="shared" si="11"/>
        <v>11.67154846209187</v>
      </c>
      <c r="W96" s="9">
        <f t="shared" si="15"/>
        <v>-0.16523114303822339</v>
      </c>
      <c r="Y96" s="9">
        <f t="shared" si="10"/>
        <v>-0.18783050179092697</v>
      </c>
    </row>
    <row r="97" spans="1:25" x14ac:dyDescent="0.2">
      <c r="A97" s="11" t="s">
        <v>273</v>
      </c>
      <c r="B97" t="s">
        <v>211</v>
      </c>
      <c r="C97" t="s">
        <v>85</v>
      </c>
      <c r="D97">
        <v>404.76471079786802</v>
      </c>
      <c r="E97">
        <v>206.05870760529899</v>
      </c>
      <c r="F97" s="9">
        <v>26923.2288813224</v>
      </c>
      <c r="G97">
        <v>174.56016108433101</v>
      </c>
      <c r="H97">
        <v>154.23467023678799</v>
      </c>
      <c r="I97" s="9">
        <v>24024.5585401725</v>
      </c>
      <c r="J97">
        <v>159.78609281042799</v>
      </c>
      <c r="K97">
        <v>150.35450280817301</v>
      </c>
      <c r="L97">
        <v>1.12065446848077</v>
      </c>
      <c r="N97" s="9"/>
      <c r="Q97" s="8">
        <f t="shared" si="12"/>
        <v>10.239184164523884</v>
      </c>
      <c r="R97" s="11">
        <f t="shared" si="13"/>
        <v>9.4022731686472572</v>
      </c>
      <c r="T97" s="8">
        <f t="shared" si="14"/>
        <v>8.0771841645238851</v>
      </c>
      <c r="U97" s="11">
        <f t="shared" si="11"/>
        <v>8.5042731686472575</v>
      </c>
      <c r="W97" s="9">
        <f t="shared" si="15"/>
        <v>-3.3325064364828361</v>
      </c>
      <c r="Y97" s="9">
        <f t="shared" si="10"/>
        <v>-0.42708900412337236</v>
      </c>
    </row>
    <row r="98" spans="1:25" x14ac:dyDescent="0.2">
      <c r="A98" s="11" t="s">
        <v>274</v>
      </c>
      <c r="B98" t="s">
        <v>212</v>
      </c>
      <c r="C98" t="s">
        <v>85</v>
      </c>
      <c r="D98">
        <v>439.465123818378</v>
      </c>
      <c r="E98">
        <v>189.57524274802799</v>
      </c>
      <c r="F98" s="9">
        <v>14177.0773050314</v>
      </c>
      <c r="G98">
        <v>132.47929878601201</v>
      </c>
      <c r="H98">
        <v>107.013529169799</v>
      </c>
      <c r="I98" s="9">
        <v>11179.536677922901</v>
      </c>
      <c r="J98">
        <v>112.29304009861499</v>
      </c>
      <c r="K98">
        <v>99.556808401528002</v>
      </c>
      <c r="L98">
        <v>1.26812744691182</v>
      </c>
      <c r="N98" s="9"/>
      <c r="Q98" s="8">
        <f t="shared" si="12"/>
        <v>10.93553525394924</v>
      </c>
      <c r="R98" s="11">
        <f t="shared" si="13"/>
        <v>10.232852196078579</v>
      </c>
      <c r="T98" s="8">
        <f t="shared" si="14"/>
        <v>8.7735352539492411</v>
      </c>
      <c r="U98" s="11">
        <f t="shared" si="11"/>
        <v>9.3348521960785789</v>
      </c>
      <c r="W98" s="9">
        <f t="shared" si="15"/>
        <v>-2.5019274090515147</v>
      </c>
      <c r="Y98" s="9">
        <f t="shared" si="10"/>
        <v>-0.5613169421293378</v>
      </c>
    </row>
    <row r="99" spans="1:25" x14ac:dyDescent="0.2">
      <c r="A99" s="11" t="s">
        <v>275</v>
      </c>
      <c r="B99" t="s">
        <v>213</v>
      </c>
      <c r="C99" t="s">
        <v>85</v>
      </c>
      <c r="D99">
        <v>494.58038581330402</v>
      </c>
      <c r="E99">
        <v>287.72881162103499</v>
      </c>
      <c r="F99" s="9">
        <v>41233.293227939997</v>
      </c>
      <c r="G99">
        <v>212.09825779021801</v>
      </c>
      <c r="H99">
        <v>194.40656258818899</v>
      </c>
      <c r="I99" s="9">
        <v>38684.655303238302</v>
      </c>
      <c r="J99">
        <v>200.917576016336</v>
      </c>
      <c r="K99">
        <v>192.53992642282799</v>
      </c>
      <c r="L99">
        <v>1.0658823997454101</v>
      </c>
      <c r="N99" s="9"/>
      <c r="Q99" s="8">
        <f t="shared" si="12"/>
        <v>9.7763819664504439</v>
      </c>
      <c r="R99" s="11">
        <f t="shared" si="13"/>
        <v>8.8850648802372572</v>
      </c>
      <c r="T99" s="8">
        <f t="shared" si="14"/>
        <v>7.614381966450444</v>
      </c>
      <c r="U99" s="11">
        <f t="shared" si="11"/>
        <v>7.9870648802372575</v>
      </c>
      <c r="W99" s="9">
        <f t="shared" si="15"/>
        <v>-3.8497147248928361</v>
      </c>
      <c r="Y99" s="9">
        <f t="shared" si="10"/>
        <v>-0.37268291378681351</v>
      </c>
    </row>
    <row r="100" spans="1:25" x14ac:dyDescent="0.2">
      <c r="A100" s="11" t="s">
        <v>276</v>
      </c>
      <c r="B100" t="s">
        <v>214</v>
      </c>
      <c r="C100" t="s">
        <v>85</v>
      </c>
      <c r="D100">
        <v>56.691176502501101</v>
      </c>
      <c r="E100">
        <v>395.492656243738</v>
      </c>
      <c r="F100" s="9">
        <v>259.00459982388901</v>
      </c>
      <c r="G100">
        <v>60.540290429995601</v>
      </c>
      <c r="H100">
        <v>4.2782186537969</v>
      </c>
      <c r="I100" s="9">
        <v>151.750719858163</v>
      </c>
      <c r="J100">
        <v>39.298466575317498</v>
      </c>
      <c r="K100">
        <v>3.8614921416163899</v>
      </c>
      <c r="L100">
        <v>1.70677674587622</v>
      </c>
      <c r="N100" s="9"/>
      <c r="Q100" s="8">
        <f t="shared" si="12"/>
        <v>15.28123333004838</v>
      </c>
      <c r="R100" s="11">
        <f t="shared" si="13"/>
        <v>14.901084809117272</v>
      </c>
      <c r="T100" s="8">
        <f t="shared" si="14"/>
        <v>13.119233330048381</v>
      </c>
      <c r="U100" s="11">
        <f t="shared" si="11"/>
        <v>14.003084809117272</v>
      </c>
      <c r="W100" s="9">
        <f t="shared" si="15"/>
        <v>2.1663052039871786</v>
      </c>
      <c r="Y100" s="9">
        <f t="shared" si="10"/>
        <v>-0.88385147906889117</v>
      </c>
    </row>
    <row r="101" spans="1:25" x14ac:dyDescent="0.2">
      <c r="A101" s="11" t="s">
        <v>277</v>
      </c>
      <c r="B101" t="s">
        <v>215</v>
      </c>
      <c r="C101" t="s">
        <v>85</v>
      </c>
      <c r="D101">
        <v>152.21386666587799</v>
      </c>
      <c r="E101">
        <v>402.08458967418801</v>
      </c>
      <c r="F101" s="9">
        <v>547.76151310075295</v>
      </c>
      <c r="G101">
        <v>62.229187513329002</v>
      </c>
      <c r="H101">
        <v>8.8023246805757598</v>
      </c>
      <c r="I101" s="9">
        <v>584.11551464872696</v>
      </c>
      <c r="J101">
        <v>44.468375757018698</v>
      </c>
      <c r="K101">
        <v>13.135526195973799</v>
      </c>
      <c r="L101">
        <v>0.93776230790610504</v>
      </c>
      <c r="N101" s="9"/>
      <c r="Q101" s="8">
        <f t="shared" si="12"/>
        <v>14.468023236368415</v>
      </c>
      <c r="R101" s="11">
        <f t="shared" si="13"/>
        <v>13.437664854751421</v>
      </c>
      <c r="T101" s="8">
        <f t="shared" si="14"/>
        <v>12.306023236368414</v>
      </c>
      <c r="U101" s="11">
        <f t="shared" si="11"/>
        <v>12.539664854751422</v>
      </c>
      <c r="W101" s="9">
        <f t="shared" si="15"/>
        <v>0.70288524962132826</v>
      </c>
      <c r="Y101" s="9">
        <f t="shared" si="10"/>
        <v>-0.23364161838300745</v>
      </c>
    </row>
    <row r="102" spans="1:25" x14ac:dyDescent="0.2">
      <c r="A102" s="11" t="s">
        <v>278</v>
      </c>
      <c r="B102" t="s">
        <v>216</v>
      </c>
      <c r="C102" t="s">
        <v>85</v>
      </c>
      <c r="D102">
        <v>57.758760859278198</v>
      </c>
      <c r="E102">
        <v>467.788936689845</v>
      </c>
      <c r="F102" s="9">
        <v>5125.4792417594399</v>
      </c>
      <c r="G102">
        <v>92.509066539228797</v>
      </c>
      <c r="H102">
        <v>55.405155770174801</v>
      </c>
      <c r="I102" s="9">
        <v>5114.3451681526103</v>
      </c>
      <c r="J102">
        <v>80.791755080267606</v>
      </c>
      <c r="K102">
        <v>63.302810578523001</v>
      </c>
      <c r="L102">
        <v>1.0021770281904601</v>
      </c>
      <c r="N102" s="9"/>
      <c r="Q102" s="8">
        <f t="shared" si="12"/>
        <v>12.04016582528487</v>
      </c>
      <c r="R102" s="11">
        <f t="shared" si="13"/>
        <v>11.081936620645418</v>
      </c>
      <c r="T102" s="8">
        <f t="shared" si="14"/>
        <v>9.8781658252848707</v>
      </c>
      <c r="U102" s="11">
        <f t="shared" si="11"/>
        <v>10.183936620645419</v>
      </c>
      <c r="W102" s="9">
        <f t="shared" si="15"/>
        <v>-1.6528429844846748</v>
      </c>
      <c r="Y102" s="9">
        <f t="shared" si="10"/>
        <v>-0.30577079536054796</v>
      </c>
    </row>
    <row r="103" spans="1:25" x14ac:dyDescent="0.2">
      <c r="A103" s="11" t="s">
        <v>279</v>
      </c>
      <c r="B103" t="s">
        <v>217</v>
      </c>
      <c r="C103" t="s">
        <v>85</v>
      </c>
      <c r="D103">
        <v>208.082106283288</v>
      </c>
      <c r="E103">
        <v>454.77979186233</v>
      </c>
      <c r="F103" s="9">
        <v>2046.4516102156001</v>
      </c>
      <c r="G103">
        <v>73.771202412588494</v>
      </c>
      <c r="H103">
        <v>27.740521277804099</v>
      </c>
      <c r="I103" s="9">
        <v>2203.9690952395399</v>
      </c>
      <c r="J103">
        <v>59.648676206799699</v>
      </c>
      <c r="K103">
        <v>36.949170298406301</v>
      </c>
      <c r="L103">
        <v>0.92853008448976604</v>
      </c>
      <c r="N103" s="9"/>
      <c r="Q103" s="8">
        <f t="shared" si="12"/>
        <v>13.036998322925463</v>
      </c>
      <c r="R103" s="11">
        <f t="shared" si="13"/>
        <v>11.99589795787686</v>
      </c>
      <c r="T103" s="8">
        <f t="shared" si="14"/>
        <v>10.874998322925464</v>
      </c>
      <c r="U103" s="11">
        <f t="shared" si="11"/>
        <v>11.09789795787686</v>
      </c>
      <c r="W103" s="9">
        <f t="shared" si="15"/>
        <v>-0.73888164725323335</v>
      </c>
      <c r="Y103" s="9">
        <f t="shared" si="10"/>
        <v>-0.22289963495139631</v>
      </c>
    </row>
    <row r="104" spans="1:25" x14ac:dyDescent="0.2">
      <c r="A104" s="11" t="s">
        <v>280</v>
      </c>
      <c r="B104" t="s">
        <v>218</v>
      </c>
      <c r="C104" t="s">
        <v>85</v>
      </c>
      <c r="D104">
        <v>233.46078510425701</v>
      </c>
      <c r="E104">
        <v>475.74032112147103</v>
      </c>
      <c r="F104" s="9">
        <v>6124.0380850163301</v>
      </c>
      <c r="G104">
        <v>97.561576189257906</v>
      </c>
      <c r="H104">
        <v>62.771003956889899</v>
      </c>
      <c r="I104" s="9">
        <v>5210.62803959546</v>
      </c>
      <c r="J104">
        <v>81.534883240941696</v>
      </c>
      <c r="K104">
        <v>63.9067333204815</v>
      </c>
      <c r="L104">
        <v>1.1752974955187501</v>
      </c>
      <c r="N104" s="9"/>
      <c r="Q104" s="8">
        <f t="shared" si="12"/>
        <v>11.846907315474482</v>
      </c>
      <c r="R104" s="11">
        <f t="shared" si="13"/>
        <v>11.061686528430117</v>
      </c>
      <c r="T104" s="8">
        <f t="shared" si="14"/>
        <v>9.6849073154744829</v>
      </c>
      <c r="U104" s="11">
        <f t="shared" si="11"/>
        <v>10.163686528430118</v>
      </c>
      <c r="W104" s="9">
        <f t="shared" si="15"/>
        <v>-1.6730930766999759</v>
      </c>
      <c r="Y104" s="9">
        <f t="shared" si="10"/>
        <v>-0.47877921295563475</v>
      </c>
    </row>
    <row r="105" spans="1:25" x14ac:dyDescent="0.2">
      <c r="A105" s="11" t="s">
        <v>281</v>
      </c>
      <c r="B105" t="s">
        <v>219</v>
      </c>
      <c r="C105" t="s">
        <v>85</v>
      </c>
      <c r="D105">
        <v>300.04266663279498</v>
      </c>
      <c r="E105">
        <v>462.43327160164603</v>
      </c>
      <c r="F105" s="9">
        <v>5444.3671043946797</v>
      </c>
      <c r="G105">
        <v>93.959220671634199</v>
      </c>
      <c r="H105">
        <v>57.943936374498897</v>
      </c>
      <c r="I105" s="9">
        <v>4437.6420342287902</v>
      </c>
      <c r="J105">
        <v>76.453044287512796</v>
      </c>
      <c r="K105">
        <v>58.0440200332689</v>
      </c>
      <c r="L105">
        <v>1.2268603601644099</v>
      </c>
      <c r="N105" s="9"/>
      <c r="Q105" s="8">
        <f t="shared" si="12"/>
        <v>11.974633519549396</v>
      </c>
      <c r="R105" s="11">
        <f t="shared" si="13"/>
        <v>11.236031042357071</v>
      </c>
      <c r="T105" s="8">
        <f t="shared" si="14"/>
        <v>9.8126335195493972</v>
      </c>
      <c r="U105" s="11">
        <f t="shared" si="11"/>
        <v>10.338031042357072</v>
      </c>
      <c r="W105" s="9">
        <f t="shared" si="15"/>
        <v>-1.4987485627730219</v>
      </c>
      <c r="Y105" s="9">
        <f t="shared" si="10"/>
        <v>-0.52539752280767438</v>
      </c>
    </row>
    <row r="106" spans="1:25" x14ac:dyDescent="0.2">
      <c r="A106" s="11" t="s">
        <v>282</v>
      </c>
      <c r="B106" t="s">
        <v>220</v>
      </c>
      <c r="C106" t="s">
        <v>85</v>
      </c>
      <c r="D106">
        <v>290.777690673363</v>
      </c>
      <c r="E106">
        <v>488.473395058699</v>
      </c>
      <c r="F106" s="9">
        <v>2205.9385422503601</v>
      </c>
      <c r="G106">
        <v>76.079600101260098</v>
      </c>
      <c r="H106">
        <v>28.995138503808001</v>
      </c>
      <c r="I106" s="9">
        <v>3172.7473870573199</v>
      </c>
      <c r="J106">
        <v>68.464596425611603</v>
      </c>
      <c r="K106">
        <v>46.341431231608702</v>
      </c>
      <c r="L106">
        <v>0.69527708107147401</v>
      </c>
      <c r="N106" s="9"/>
      <c r="Q106" s="8">
        <f t="shared" si="12"/>
        <v>12.955518500765184</v>
      </c>
      <c r="R106" s="11">
        <f t="shared" si="13"/>
        <v>11.600322971104474</v>
      </c>
      <c r="T106" s="8">
        <f t="shared" si="14"/>
        <v>10.793518500765185</v>
      </c>
      <c r="U106" s="11">
        <f t="shared" si="11"/>
        <v>10.702322971104474</v>
      </c>
      <c r="W106" s="9">
        <f t="shared" si="15"/>
        <v>-1.1344566340256197</v>
      </c>
      <c r="Y106" s="9">
        <f t="shared" si="10"/>
        <v>9.1195529660710761E-2</v>
      </c>
    </row>
    <row r="107" spans="1:25" x14ac:dyDescent="0.2">
      <c r="A107" s="11" t="s">
        <v>283</v>
      </c>
      <c r="B107" t="s">
        <v>221</v>
      </c>
      <c r="C107" t="s">
        <v>85</v>
      </c>
      <c r="D107">
        <v>268.73951421018398</v>
      </c>
      <c r="E107">
        <v>435.07819965552801</v>
      </c>
      <c r="F107" s="9">
        <v>656.83743533197105</v>
      </c>
      <c r="G107">
        <v>64.072472165624205</v>
      </c>
      <c r="H107">
        <v>10.251476384961</v>
      </c>
      <c r="I107" s="9">
        <v>694.34757034500001</v>
      </c>
      <c r="J107">
        <v>45.728621749081903</v>
      </c>
      <c r="K107">
        <v>15.1840913586891</v>
      </c>
      <c r="L107">
        <v>0.94597786956409702</v>
      </c>
      <c r="N107" s="9"/>
      <c r="Q107" s="8">
        <f t="shared" si="12"/>
        <v>14.270857280958316</v>
      </c>
      <c r="R107" s="11">
        <f t="shared" si="13"/>
        <v>13.249969408488045</v>
      </c>
      <c r="T107" s="8">
        <f t="shared" si="14"/>
        <v>12.108857280958315</v>
      </c>
      <c r="U107" s="11">
        <f t="shared" si="11"/>
        <v>12.351969408488046</v>
      </c>
      <c r="W107" s="9">
        <f t="shared" si="15"/>
        <v>0.51518980335795206</v>
      </c>
      <c r="Y107" s="9">
        <f t="shared" si="10"/>
        <v>-0.24311212752973077</v>
      </c>
    </row>
    <row r="108" spans="1:25" x14ac:dyDescent="0.2">
      <c r="A108" s="11" t="s">
        <v>284</v>
      </c>
      <c r="B108" t="s">
        <v>222</v>
      </c>
      <c r="C108" t="s">
        <v>85</v>
      </c>
      <c r="D108">
        <v>373.41515125086499</v>
      </c>
      <c r="E108">
        <v>438.74358913353001</v>
      </c>
      <c r="F108" s="9">
        <v>1220.5507051499101</v>
      </c>
      <c r="G108">
        <v>68.6257379526145</v>
      </c>
      <c r="H108">
        <v>17.785611369202101</v>
      </c>
      <c r="I108" s="9">
        <v>1001.74568929066</v>
      </c>
      <c r="J108">
        <v>49.585954441306797</v>
      </c>
      <c r="K108">
        <v>20.202206463049801</v>
      </c>
      <c r="L108">
        <v>1.21842371591754</v>
      </c>
      <c r="N108" s="9"/>
      <c r="Q108" s="8">
        <f t="shared" si="12"/>
        <v>13.598112457795921</v>
      </c>
      <c r="R108" s="11">
        <f t="shared" si="13"/>
        <v>12.85201800325741</v>
      </c>
      <c r="T108" s="8">
        <f t="shared" si="14"/>
        <v>11.436112457795922</v>
      </c>
      <c r="U108" s="11">
        <f t="shared" si="11"/>
        <v>11.95401800325741</v>
      </c>
      <c r="W108" s="9">
        <f t="shared" si="15"/>
        <v>0.1172383981273164</v>
      </c>
      <c r="Y108" s="9">
        <f t="shared" si="10"/>
        <v>-0.51790554546148826</v>
      </c>
    </row>
    <row r="109" spans="1:25" x14ac:dyDescent="0.2">
      <c r="A109" s="11" t="s">
        <v>285</v>
      </c>
      <c r="B109" t="s">
        <v>223</v>
      </c>
      <c r="C109" t="s">
        <v>85</v>
      </c>
      <c r="D109">
        <v>345.04869965346597</v>
      </c>
      <c r="E109">
        <v>420.673140689165</v>
      </c>
      <c r="F109" s="9">
        <v>3254.55286552603</v>
      </c>
      <c r="G109">
        <v>81.541069883824505</v>
      </c>
      <c r="H109">
        <v>39.913050811853999</v>
      </c>
      <c r="I109" s="9">
        <v>3163.6475727532902</v>
      </c>
      <c r="J109">
        <v>67.294179050172801</v>
      </c>
      <c r="K109">
        <v>47.012202502605</v>
      </c>
      <c r="L109">
        <v>1.0287343298146201</v>
      </c>
      <c r="N109" s="9"/>
      <c r="Q109" s="8">
        <f t="shared" si="12"/>
        <v>12.533273696628132</v>
      </c>
      <c r="R109" s="11">
        <f t="shared" si="13"/>
        <v>11.603441465043511</v>
      </c>
      <c r="T109" s="8">
        <f t="shared" si="14"/>
        <v>10.371273696628133</v>
      </c>
      <c r="U109" s="11">
        <f t="shared" si="11"/>
        <v>10.705441465043512</v>
      </c>
      <c r="W109" s="9">
        <f t="shared" si="15"/>
        <v>-1.1313381400865818</v>
      </c>
      <c r="Y109" s="9">
        <f t="shared" si="10"/>
        <v>-0.33416776841537832</v>
      </c>
    </row>
    <row r="110" spans="1:25" x14ac:dyDescent="0.2">
      <c r="A110" s="11" t="s">
        <v>286</v>
      </c>
      <c r="B110" t="s">
        <v>224</v>
      </c>
      <c r="C110" t="s">
        <v>85</v>
      </c>
      <c r="D110">
        <v>399.757000754655</v>
      </c>
      <c r="E110">
        <v>433.66605160788203</v>
      </c>
      <c r="F110" s="9">
        <v>1595.7164683828801</v>
      </c>
      <c r="G110">
        <v>71.437612331260695</v>
      </c>
      <c r="H110">
        <v>22.337203278623601</v>
      </c>
      <c r="I110" s="9">
        <v>1580.5693974641199</v>
      </c>
      <c r="J110">
        <v>55.333732925666801</v>
      </c>
      <c r="K110">
        <v>28.564300904610899</v>
      </c>
      <c r="L110">
        <v>1.0095833001341501</v>
      </c>
      <c r="N110" s="9"/>
      <c r="Q110" s="8">
        <f t="shared" si="12"/>
        <v>13.307112704830971</v>
      </c>
      <c r="R110" s="11">
        <f t="shared" si="13"/>
        <v>12.356877786396794</v>
      </c>
      <c r="T110" s="8">
        <f t="shared" si="14"/>
        <v>11.145112704830971</v>
      </c>
      <c r="U110" s="11">
        <f t="shared" si="11"/>
        <v>11.458877786396794</v>
      </c>
      <c r="W110" s="9">
        <f t="shared" si="15"/>
        <v>-0.37790181873329942</v>
      </c>
      <c r="Y110" s="9">
        <f t="shared" si="10"/>
        <v>-0.31376508156582261</v>
      </c>
    </row>
    <row r="111" spans="1:25" x14ac:dyDescent="0.2">
      <c r="A111" s="11" t="s">
        <v>287</v>
      </c>
      <c r="B111" t="s">
        <v>225</v>
      </c>
      <c r="C111" t="s">
        <v>85</v>
      </c>
      <c r="D111">
        <v>463.581202725933</v>
      </c>
      <c r="E111">
        <v>474.15495080312297</v>
      </c>
      <c r="F111" s="9">
        <v>1396.1948508952501</v>
      </c>
      <c r="G111">
        <v>70.016919764694293</v>
      </c>
      <c r="H111">
        <v>19.940820812846901</v>
      </c>
      <c r="I111" s="9">
        <v>2276.2977182095101</v>
      </c>
      <c r="J111">
        <v>60.997810639517198</v>
      </c>
      <c r="K111">
        <v>37.317695411428801</v>
      </c>
      <c r="L111">
        <v>0.613362144910229</v>
      </c>
      <c r="N111" s="9"/>
      <c r="Q111" s="8">
        <f t="shared" si="12"/>
        <v>13.452136942651443</v>
      </c>
      <c r="R111" s="11">
        <f t="shared" si="13"/>
        <v>11.960839051272071</v>
      </c>
      <c r="T111" s="8">
        <f t="shared" si="14"/>
        <v>11.290136942651444</v>
      </c>
      <c r="U111" s="11">
        <f t="shared" si="11"/>
        <v>11.062839051272071</v>
      </c>
      <c r="W111" s="9">
        <f t="shared" si="15"/>
        <v>-0.77394055385802218</v>
      </c>
      <c r="Y111" s="9">
        <f t="shared" si="10"/>
        <v>0.22729789137937217</v>
      </c>
    </row>
    <row r="112" spans="1:25" x14ac:dyDescent="0.2">
      <c r="A112" s="11" t="s">
        <v>288</v>
      </c>
      <c r="B112" t="s">
        <v>226</v>
      </c>
      <c r="C112" t="s">
        <v>85</v>
      </c>
      <c r="D112">
        <v>289.81606213569802</v>
      </c>
      <c r="E112">
        <v>340.27434668136101</v>
      </c>
      <c r="F112" s="9">
        <v>316.15819510007901</v>
      </c>
      <c r="G112">
        <v>61.0459209677608</v>
      </c>
      <c r="H112">
        <v>5.1790224488061503</v>
      </c>
      <c r="I112" s="9">
        <v>1755.3044776536899</v>
      </c>
      <c r="J112">
        <v>56.304073665371597</v>
      </c>
      <c r="K112">
        <v>31.175443682563301</v>
      </c>
      <c r="L112">
        <v>0.18011587113518099</v>
      </c>
      <c r="N112" s="9"/>
      <c r="Q112" s="8">
        <f t="shared" si="12"/>
        <v>15.064740913707062</v>
      </c>
      <c r="R112" s="11">
        <f t="shared" si="13"/>
        <v>12.243030557178857</v>
      </c>
      <c r="T112" s="8">
        <f t="shared" si="14"/>
        <v>12.902740913707063</v>
      </c>
      <c r="U112" s="11">
        <f t="shared" si="11"/>
        <v>11.345030557178857</v>
      </c>
      <c r="W112" s="9">
        <f t="shared" si="15"/>
        <v>-0.49174904795123631</v>
      </c>
      <c r="Y112" s="9">
        <f t="shared" si="10"/>
        <v>1.5577103565282062</v>
      </c>
    </row>
    <row r="113" spans="1:25" x14ac:dyDescent="0.2">
      <c r="A113" s="11" t="s">
        <v>289</v>
      </c>
      <c r="B113" t="s">
        <v>227</v>
      </c>
      <c r="C113" t="s">
        <v>85</v>
      </c>
      <c r="D113">
        <v>233.50286813227501</v>
      </c>
      <c r="E113">
        <v>203.47973684110599</v>
      </c>
      <c r="F113" s="9">
        <v>373.424762665608</v>
      </c>
      <c r="G113">
        <v>61.750188239466702</v>
      </c>
      <c r="H113">
        <v>6.0473461427756297</v>
      </c>
      <c r="I113" s="9">
        <v>329.13313601669603</v>
      </c>
      <c r="J113">
        <v>42.241094132833403</v>
      </c>
      <c r="K113">
        <v>7.7917758233649899</v>
      </c>
      <c r="L113">
        <v>1.1345705485170701</v>
      </c>
      <c r="N113" s="9"/>
      <c r="Q113" s="8">
        <f t="shared" si="12"/>
        <v>14.883994238571724</v>
      </c>
      <c r="R113" s="11">
        <f t="shared" si="13"/>
        <v>14.060482689385601</v>
      </c>
      <c r="T113" s="8">
        <f t="shared" si="14"/>
        <v>12.721994238571725</v>
      </c>
      <c r="U113" s="11">
        <f t="shared" si="11"/>
        <v>13.162482689385602</v>
      </c>
      <c r="W113" s="9">
        <f t="shared" si="15"/>
        <v>1.3257030842555082</v>
      </c>
      <c r="Y113" s="9">
        <f t="shared" si="10"/>
        <v>-0.44048845081387711</v>
      </c>
    </row>
    <row r="114" spans="1:25" x14ac:dyDescent="0.2">
      <c r="A114" s="11" t="s">
        <v>290</v>
      </c>
      <c r="B114" t="s">
        <v>228</v>
      </c>
      <c r="C114" t="s">
        <v>85</v>
      </c>
      <c r="D114">
        <v>18.049431787541199</v>
      </c>
      <c r="E114">
        <v>86.635907631038904</v>
      </c>
      <c r="F114" s="9">
        <v>1504.69094687079</v>
      </c>
      <c r="G114">
        <v>68.940827832915701</v>
      </c>
      <c r="H114">
        <v>21.825832299512701</v>
      </c>
      <c r="I114" s="9">
        <v>1208.9119812976701</v>
      </c>
      <c r="J114">
        <v>50.020071775597401</v>
      </c>
      <c r="K114">
        <v>24.168537516722299</v>
      </c>
      <c r="L114">
        <v>1.24466542655622</v>
      </c>
      <c r="N114" s="9"/>
      <c r="Q114" s="8">
        <f t="shared" si="12"/>
        <v>13.37088375268306</v>
      </c>
      <c r="R114" s="11">
        <f t="shared" si="13"/>
        <v>12.647925004358713</v>
      </c>
      <c r="T114" s="8">
        <f t="shared" si="14"/>
        <v>11.208883752683061</v>
      </c>
      <c r="U114" s="11">
        <f t="shared" si="11"/>
        <v>11.749925004358714</v>
      </c>
      <c r="W114" s="9">
        <f t="shared" si="15"/>
        <v>-8.6854600771379964E-2</v>
      </c>
      <c r="Y114" s="9">
        <f t="shared" si="10"/>
        <v>-0.54104125167565265</v>
      </c>
    </row>
    <row r="115" spans="1:25" x14ac:dyDescent="0.2">
      <c r="A115" s="11" t="s">
        <v>291</v>
      </c>
      <c r="B115" t="s">
        <v>229</v>
      </c>
      <c r="C115" t="s">
        <v>85</v>
      </c>
      <c r="D115">
        <v>102.969423214714</v>
      </c>
      <c r="E115">
        <v>114.506582041017</v>
      </c>
      <c r="F115" s="9">
        <v>4011.7257280282602</v>
      </c>
      <c r="G115">
        <v>86.086310076753705</v>
      </c>
      <c r="H115">
        <v>46.601204354692896</v>
      </c>
      <c r="I115" s="9">
        <v>4231.8600193987004</v>
      </c>
      <c r="J115">
        <v>75.336049636988903</v>
      </c>
      <c r="K115">
        <v>56.173107559928603</v>
      </c>
      <c r="L115">
        <v>0.94798166991314603</v>
      </c>
      <c r="N115" s="9"/>
      <c r="Q115" s="8">
        <f t="shared" si="12"/>
        <v>12.306173938434169</v>
      </c>
      <c r="R115" s="11">
        <f t="shared" si="13"/>
        <v>11.287583474490823</v>
      </c>
      <c r="T115" s="8">
        <f t="shared" si="14"/>
        <v>10.144173938434168</v>
      </c>
      <c r="U115" s="11">
        <f t="shared" si="11"/>
        <v>10.389583474490824</v>
      </c>
      <c r="W115" s="9">
        <f t="shared" si="15"/>
        <v>-1.44719613063927</v>
      </c>
      <c r="Y115" s="9">
        <f t="shared" si="10"/>
        <v>-0.2454095360566555</v>
      </c>
    </row>
    <row r="116" spans="1:25" x14ac:dyDescent="0.2">
      <c r="A116" s="11" t="s">
        <v>292</v>
      </c>
      <c r="B116" t="s">
        <v>230</v>
      </c>
      <c r="C116" t="s">
        <v>85</v>
      </c>
      <c r="D116">
        <v>93.242196748916797</v>
      </c>
      <c r="E116">
        <v>128.47194059436501</v>
      </c>
      <c r="F116" s="9">
        <v>390.10141867668699</v>
      </c>
      <c r="G116">
        <v>61.193865426392001</v>
      </c>
      <c r="H116">
        <v>6.3748451900938603</v>
      </c>
      <c r="I116" s="9">
        <v>544.56712568093894</v>
      </c>
      <c r="J116">
        <v>43.772945008073002</v>
      </c>
      <c r="K116">
        <v>12.440723958155001</v>
      </c>
      <c r="L116">
        <v>0.71635139228959999</v>
      </c>
      <c r="N116" s="9"/>
      <c r="Q116" s="8">
        <f t="shared" si="12"/>
        <v>14.836558198418539</v>
      </c>
      <c r="R116" s="11">
        <f t="shared" si="13"/>
        <v>13.51378315790959</v>
      </c>
      <c r="T116" s="8">
        <f t="shared" si="14"/>
        <v>12.674558198418538</v>
      </c>
      <c r="U116" s="11">
        <f t="shared" si="11"/>
        <v>12.61578315790959</v>
      </c>
      <c r="W116" s="9">
        <f t="shared" si="15"/>
        <v>0.77900355277949629</v>
      </c>
      <c r="Y116" s="9">
        <f t="shared" si="10"/>
        <v>5.8775040508947995E-2</v>
      </c>
    </row>
    <row r="117" spans="1:25" x14ac:dyDescent="0.2">
      <c r="A117" s="11" t="s">
        <v>293</v>
      </c>
      <c r="B117" t="s">
        <v>231</v>
      </c>
      <c r="C117" t="s">
        <v>85</v>
      </c>
      <c r="D117">
        <v>150.10740993190001</v>
      </c>
      <c r="E117">
        <v>98.832766364241806</v>
      </c>
      <c r="F117" s="9">
        <v>578.30187754406995</v>
      </c>
      <c r="G117">
        <v>62.299448930443297</v>
      </c>
      <c r="H117">
        <v>9.2826162586082894</v>
      </c>
      <c r="I117" s="9">
        <v>627.84280511517295</v>
      </c>
      <c r="J117">
        <v>44.8158690712783</v>
      </c>
      <c r="K117">
        <v>14.0093859190057</v>
      </c>
      <c r="L117">
        <v>0.92109342152608498</v>
      </c>
      <c r="N117" s="9"/>
      <c r="Q117" s="8">
        <f t="shared" si="12"/>
        <v>14.409115516917058</v>
      </c>
      <c r="R117" s="11">
        <f t="shared" si="13"/>
        <v>13.359284404551968</v>
      </c>
      <c r="T117" s="8">
        <f t="shared" si="14"/>
        <v>12.247115516917059</v>
      </c>
      <c r="U117" s="11">
        <f t="shared" si="11"/>
        <v>12.461284404551968</v>
      </c>
      <c r="W117" s="9">
        <f t="shared" si="15"/>
        <v>0.62450479942187442</v>
      </c>
      <c r="Y117" s="9">
        <f t="shared" si="10"/>
        <v>-0.2141688876349086</v>
      </c>
    </row>
    <row r="118" spans="1:25" x14ac:dyDescent="0.2">
      <c r="A118" s="11" t="s">
        <v>294</v>
      </c>
      <c r="B118" t="s">
        <v>232</v>
      </c>
      <c r="C118" t="s">
        <v>85</v>
      </c>
      <c r="D118">
        <v>266.022599267624</v>
      </c>
      <c r="E118">
        <v>46.178352255497202</v>
      </c>
      <c r="F118" s="9">
        <v>11740.7961307151</v>
      </c>
      <c r="G118">
        <v>122.678875789652</v>
      </c>
      <c r="H118">
        <v>95.703486481618199</v>
      </c>
      <c r="I118" s="9">
        <v>9612.5742782091493</v>
      </c>
      <c r="J118">
        <v>105.177069981591</v>
      </c>
      <c r="K118">
        <v>91.394201035373897</v>
      </c>
      <c r="L118">
        <v>1.22139978229665</v>
      </c>
      <c r="N118" s="9"/>
      <c r="Q118" s="8">
        <f t="shared" si="12"/>
        <v>11.140258155312173</v>
      </c>
      <c r="R118" s="11">
        <f t="shared" si="13"/>
        <v>10.396812437143721</v>
      </c>
      <c r="T118" s="8">
        <f t="shared" si="14"/>
        <v>8.9782581553121723</v>
      </c>
      <c r="U118" s="11">
        <f t="shared" si="11"/>
        <v>9.4988124371437213</v>
      </c>
      <c r="W118" s="9">
        <f t="shared" si="15"/>
        <v>-2.3379671679863723</v>
      </c>
      <c r="Y118" s="9">
        <f t="shared" si="10"/>
        <v>-0.52055428183154895</v>
      </c>
    </row>
    <row r="119" spans="1:25" x14ac:dyDescent="0.2">
      <c r="A119" s="11" t="s">
        <v>295</v>
      </c>
      <c r="B119" t="s">
        <v>233</v>
      </c>
      <c r="C119" t="s">
        <v>85</v>
      </c>
      <c r="D119">
        <v>301.75400071489099</v>
      </c>
      <c r="E119">
        <v>124.272079338355</v>
      </c>
      <c r="F119" s="9">
        <v>978.69909268989898</v>
      </c>
      <c r="G119">
        <v>65.642162273014094</v>
      </c>
      <c r="H119">
        <v>14.9096108171965</v>
      </c>
      <c r="I119" s="9">
        <v>855.92068403624796</v>
      </c>
      <c r="J119">
        <v>47.198738039234897</v>
      </c>
      <c r="K119">
        <v>18.134397646918899</v>
      </c>
      <c r="L119">
        <v>1.1434460119302901</v>
      </c>
      <c r="N119" s="9"/>
      <c r="Q119" s="8">
        <f t="shared" si="12"/>
        <v>13.83787905842977</v>
      </c>
      <c r="R119" s="11">
        <f t="shared" si="13"/>
        <v>13.022827904913601</v>
      </c>
      <c r="T119" s="8">
        <f t="shared" si="14"/>
        <v>11.675879058429771</v>
      </c>
      <c r="U119" s="11">
        <f t="shared" si="11"/>
        <v>12.124827904913602</v>
      </c>
      <c r="W119" s="9">
        <f t="shared" si="15"/>
        <v>0.2880482997835081</v>
      </c>
      <c r="Y119" s="9">
        <f t="shared" si="10"/>
        <v>-0.44894884648383027</v>
      </c>
    </row>
    <row r="120" spans="1:25" x14ac:dyDescent="0.2">
      <c r="A120" s="11" t="s">
        <v>296</v>
      </c>
      <c r="B120" t="s">
        <v>234</v>
      </c>
      <c r="C120" t="s">
        <v>85</v>
      </c>
      <c r="D120">
        <v>409.109574187053</v>
      </c>
      <c r="E120">
        <v>111.872012808694</v>
      </c>
      <c r="F120" s="9">
        <v>2833.8948370388798</v>
      </c>
      <c r="G120">
        <v>78.586753234821003</v>
      </c>
      <c r="H120">
        <v>36.060719146534403</v>
      </c>
      <c r="I120" s="9">
        <v>2674.8058779234598</v>
      </c>
      <c r="J120">
        <v>63.843449594647403</v>
      </c>
      <c r="K120">
        <v>41.896324445283597</v>
      </c>
      <c r="L120">
        <v>1.0594768242542201</v>
      </c>
      <c r="N120" s="9"/>
      <c r="Q120" s="8">
        <f t="shared" si="12"/>
        <v>12.683542697730166</v>
      </c>
      <c r="R120" s="11">
        <f t="shared" si="13"/>
        <v>11.785681036649379</v>
      </c>
      <c r="T120" s="8">
        <f t="shared" si="14"/>
        <v>10.521542697730165</v>
      </c>
      <c r="U120" s="11">
        <f t="shared" si="11"/>
        <v>10.887681036649379</v>
      </c>
      <c r="W120" s="9">
        <f t="shared" si="15"/>
        <v>-0.94909856848071428</v>
      </c>
      <c r="Y120" s="9">
        <f t="shared" si="10"/>
        <v>-0.36613833891921388</v>
      </c>
    </row>
    <row r="121" spans="1:25" x14ac:dyDescent="0.2">
      <c r="A121" s="11" t="s">
        <v>297</v>
      </c>
      <c r="B121" t="s">
        <v>235</v>
      </c>
      <c r="C121" t="s">
        <v>85</v>
      </c>
      <c r="D121">
        <v>367.55090065253597</v>
      </c>
      <c r="E121">
        <v>56.725370191614097</v>
      </c>
      <c r="F121" s="9">
        <v>849.84097394961498</v>
      </c>
      <c r="G121">
        <v>64.985138975261194</v>
      </c>
      <c r="H121">
        <v>13.077466438490401</v>
      </c>
      <c r="I121" s="9">
        <v>700.83846277292901</v>
      </c>
      <c r="J121">
        <v>46.381334016897803</v>
      </c>
      <c r="K121">
        <v>15.110355871126799</v>
      </c>
      <c r="L121">
        <v>1.2126060698597201</v>
      </c>
      <c r="N121" s="9"/>
      <c r="Q121" s="8">
        <f t="shared" si="12"/>
        <v>13.991157857218342</v>
      </c>
      <c r="R121" s="11">
        <f t="shared" si="13"/>
        <v>13.239866887979652</v>
      </c>
      <c r="T121" s="8">
        <f t="shared" si="14"/>
        <v>11.829157857218341</v>
      </c>
      <c r="U121" s="11">
        <f t="shared" si="11"/>
        <v>12.341866887979652</v>
      </c>
      <c r="W121" s="9">
        <f t="shared" si="15"/>
        <v>0.50508728284955851</v>
      </c>
      <c r="Y121" s="9">
        <f t="shared" si="10"/>
        <v>-0.51270903076131091</v>
      </c>
    </row>
    <row r="122" spans="1:25" x14ac:dyDescent="0.2">
      <c r="A122" s="11" t="s">
        <v>298</v>
      </c>
      <c r="B122" t="s">
        <v>236</v>
      </c>
      <c r="C122" t="s">
        <v>85</v>
      </c>
      <c r="D122">
        <v>463.61150211034698</v>
      </c>
      <c r="E122">
        <v>129.46015746786401</v>
      </c>
      <c r="F122" s="9">
        <v>577.52079104790505</v>
      </c>
      <c r="G122">
        <v>62.768799392392701</v>
      </c>
      <c r="H122">
        <v>9.2007621085372797</v>
      </c>
      <c r="I122" s="9">
        <v>611.51796963408799</v>
      </c>
      <c r="J122">
        <v>45.275946542790798</v>
      </c>
      <c r="K122">
        <v>13.5064646093292</v>
      </c>
      <c r="L122">
        <v>0.94440526644454004</v>
      </c>
      <c r="N122" s="9"/>
      <c r="Q122" s="8">
        <f t="shared" si="12"/>
        <v>14.410582963507398</v>
      </c>
      <c r="R122" s="11">
        <f t="shared" si="13"/>
        <v>13.387888650317283</v>
      </c>
      <c r="T122" s="8">
        <f t="shared" si="14"/>
        <v>12.248582963507399</v>
      </c>
      <c r="U122" s="11">
        <f t="shared" si="11"/>
        <v>12.489888650317283</v>
      </c>
      <c r="W122" s="9">
        <f t="shared" si="15"/>
        <v>0.65310904518718971</v>
      </c>
      <c r="Y122" s="9">
        <f t="shared" si="10"/>
        <v>-0.24130568680988418</v>
      </c>
    </row>
    <row r="123" spans="1:25" x14ac:dyDescent="0.2">
      <c r="A123" s="11" t="s">
        <v>299</v>
      </c>
      <c r="B123" t="s">
        <v>237</v>
      </c>
      <c r="C123" t="s">
        <v>85</v>
      </c>
      <c r="D123">
        <v>482.82312837563597</v>
      </c>
      <c r="E123">
        <v>139.40850511113001</v>
      </c>
      <c r="F123" s="9">
        <v>522.05709846772902</v>
      </c>
      <c r="G123">
        <v>62.840152691836501</v>
      </c>
      <c r="H123">
        <v>8.3076993944915891</v>
      </c>
      <c r="I123" s="9">
        <v>961.41613757891901</v>
      </c>
      <c r="J123">
        <v>48.800436958642599</v>
      </c>
      <c r="K123">
        <v>19.700973956313099</v>
      </c>
      <c r="L123">
        <v>0.54300846226941502</v>
      </c>
      <c r="N123" s="9"/>
      <c r="Q123" s="8">
        <f t="shared" si="12"/>
        <v>14.520207009466901</v>
      </c>
      <c r="R123" s="11">
        <f t="shared" si="13"/>
        <v>12.896633189939404</v>
      </c>
      <c r="T123" s="8">
        <f t="shared" si="14"/>
        <v>12.358207009466902</v>
      </c>
      <c r="U123" s="11">
        <f t="shared" si="11"/>
        <v>11.998633189939405</v>
      </c>
      <c r="W123" s="9">
        <f t="shared" si="15"/>
        <v>0.161853584809311</v>
      </c>
      <c r="Y123" s="9">
        <f t="shared" si="10"/>
        <v>0.35957381952749756</v>
      </c>
    </row>
    <row r="124" spans="1:25" x14ac:dyDescent="0.2">
      <c r="A124" s="11" t="s">
        <v>300</v>
      </c>
      <c r="B124" t="s">
        <v>238</v>
      </c>
      <c r="C124" t="s">
        <v>85</v>
      </c>
      <c r="D124">
        <v>217.29340347293001</v>
      </c>
      <c r="E124">
        <v>11.952938394940301</v>
      </c>
      <c r="F124" s="9">
        <v>610.22939229140604</v>
      </c>
      <c r="G124">
        <v>63.816838494111899</v>
      </c>
      <c r="H124">
        <v>9.5622003015349808</v>
      </c>
      <c r="I124" s="9">
        <v>639.51810170890599</v>
      </c>
      <c r="J124">
        <v>45.527193190884397</v>
      </c>
      <c r="K124">
        <v>14.0469477006316</v>
      </c>
      <c r="L124">
        <v>0.95420190712469999</v>
      </c>
      <c r="N124" s="9"/>
      <c r="Q124" s="8">
        <f t="shared" si="12"/>
        <v>14.350769217623402</v>
      </c>
      <c r="R124" s="11">
        <f t="shared" si="13"/>
        <v>13.339279604404275</v>
      </c>
      <c r="T124" s="8">
        <f t="shared" si="14"/>
        <v>12.188769217623403</v>
      </c>
      <c r="U124" s="11">
        <f t="shared" si="11"/>
        <v>12.441279604404276</v>
      </c>
      <c r="W124" s="9">
        <f t="shared" si="15"/>
        <v>0.60449999927418219</v>
      </c>
      <c r="Y124" s="9">
        <f t="shared" si="10"/>
        <v>-0.25251038678087312</v>
      </c>
    </row>
    <row r="125" spans="1:25" x14ac:dyDescent="0.2">
      <c r="A125" s="11" t="s">
        <v>301</v>
      </c>
      <c r="B125" t="s">
        <v>239</v>
      </c>
      <c r="C125" t="s">
        <v>86</v>
      </c>
      <c r="D125">
        <v>158.01949056679399</v>
      </c>
      <c r="E125">
        <v>6.6767622506555897</v>
      </c>
      <c r="F125" s="9">
        <v>7126.7689300269503</v>
      </c>
      <c r="G125">
        <v>103.244708212522</v>
      </c>
      <c r="H125">
        <v>69.027934248765305</v>
      </c>
      <c r="I125" s="9">
        <v>6552.3657082502496</v>
      </c>
      <c r="J125">
        <v>89.757347474525204</v>
      </c>
      <c r="K125">
        <v>73.000883967854904</v>
      </c>
      <c r="L125">
        <v>1.08766348634256</v>
      </c>
      <c r="N125" s="9"/>
      <c r="Q125" s="8">
        <f t="shared" si="12"/>
        <v>11.682270327758308</v>
      </c>
      <c r="R125" s="11">
        <f t="shared" si="13"/>
        <v>10.812916386949212</v>
      </c>
      <c r="T125" s="8">
        <f t="shared" si="14"/>
        <v>9.5202703277583076</v>
      </c>
      <c r="U125" s="11">
        <f t="shared" si="11"/>
        <v>9.9149163869492121</v>
      </c>
      <c r="W125" s="9">
        <f t="shared" si="15"/>
        <v>-1.9218632181808815</v>
      </c>
      <c r="Y125" s="9">
        <f t="shared" si="10"/>
        <v>-0.39464605919090445</v>
      </c>
    </row>
    <row r="126" spans="1:25" x14ac:dyDescent="0.2">
      <c r="A126" s="11" t="s">
        <v>302</v>
      </c>
      <c r="B126" t="s">
        <v>240</v>
      </c>
      <c r="C126" t="s">
        <v>85</v>
      </c>
      <c r="D126">
        <v>50.568997736276401</v>
      </c>
      <c r="E126">
        <v>32.032355201930898</v>
      </c>
      <c r="F126" s="9">
        <v>471.55975188810402</v>
      </c>
      <c r="G126">
        <v>61.592066714742003</v>
      </c>
      <c r="H126" s="11">
        <v>7.6561767941980197</v>
      </c>
      <c r="I126" s="9">
        <v>503.94205367916902</v>
      </c>
      <c r="J126">
        <v>43.6912569811699</v>
      </c>
      <c r="K126">
        <v>11.534162404536801</v>
      </c>
      <c r="L126">
        <v>0.93574201328377005</v>
      </c>
      <c r="N126" s="9"/>
      <c r="Q126" s="8">
        <f t="shared" si="12"/>
        <v>14.630660196382181</v>
      </c>
      <c r="R126" s="11">
        <f t="shared" si="13"/>
        <v>13.59796020515034</v>
      </c>
      <c r="T126" s="8">
        <f t="shared" si="14"/>
        <v>12.468660196382181</v>
      </c>
      <c r="U126" s="11">
        <f t="shared" si="11"/>
        <v>12.69996020515034</v>
      </c>
      <c r="W126" s="9">
        <f t="shared" si="15"/>
        <v>0.86318060002024666</v>
      </c>
      <c r="Y126" s="9">
        <f t="shared" si="10"/>
        <v>-0.2313000087681587</v>
      </c>
    </row>
    <row r="127" spans="1:25" x14ac:dyDescent="0.2">
      <c r="A127" s="11" t="s">
        <v>303</v>
      </c>
      <c r="B127" t="s">
        <v>241</v>
      </c>
      <c r="C127" t="s">
        <v>85</v>
      </c>
      <c r="D127">
        <v>27.6937737908777</v>
      </c>
      <c r="E127">
        <v>25.836236364131501</v>
      </c>
      <c r="F127" s="9">
        <v>259.75509224122902</v>
      </c>
      <c r="G127">
        <v>59.737427380027697</v>
      </c>
      <c r="H127" s="11">
        <v>4.3482805275286101</v>
      </c>
      <c r="I127" s="9">
        <v>2614.9159844149099</v>
      </c>
      <c r="J127">
        <v>63.592203351152101</v>
      </c>
      <c r="K127">
        <v>41.120072062537403</v>
      </c>
      <c r="L127">
        <v>9.9335922755984796E-2</v>
      </c>
      <c r="M127" s="11"/>
      <c r="N127" s="11"/>
      <c r="Q127" s="8">
        <f t="shared" si="12"/>
        <v>15.278091847123473</v>
      </c>
      <c r="R127" s="11">
        <f t="shared" si="13"/>
        <v>11.810267359336319</v>
      </c>
      <c r="S127" s="9"/>
      <c r="T127" s="20">
        <f t="shared" si="14"/>
        <v>13.116091847123474</v>
      </c>
      <c r="U127" s="11">
        <f t="shared" si="11"/>
        <v>10.912267359336319</v>
      </c>
      <c r="V127" s="9"/>
      <c r="W127" s="11">
        <f t="shared" si="15"/>
        <v>-0.92451224579377467</v>
      </c>
      <c r="Y127" s="9">
        <f t="shared" si="10"/>
        <v>2.2038244877871556</v>
      </c>
    </row>
    <row r="128" spans="1:25" x14ac:dyDescent="0.2">
      <c r="A128" s="11" t="s">
        <v>304</v>
      </c>
      <c r="B128" t="s">
        <v>242</v>
      </c>
      <c r="C128" t="s">
        <v>85</v>
      </c>
      <c r="D128">
        <v>391.87843613930301</v>
      </c>
      <c r="E128" s="11">
        <v>165.78778124321801</v>
      </c>
      <c r="F128" s="9">
        <v>239.73843945168301</v>
      </c>
      <c r="G128">
        <v>60.608796011385998</v>
      </c>
      <c r="H128" s="11">
        <v>3.9555057224143901</v>
      </c>
      <c r="I128" s="9">
        <v>566.79246876419904</v>
      </c>
      <c r="J128">
        <v>44.918065196742603</v>
      </c>
      <c r="K128">
        <v>12.6183633752172</v>
      </c>
      <c r="L128">
        <v>0.422973932547825</v>
      </c>
      <c r="M128" s="11"/>
      <c r="N128" s="9"/>
      <c r="Q128" s="8">
        <f t="shared" si="12"/>
        <v>15.365157837652337</v>
      </c>
      <c r="R128" s="11">
        <f t="shared" si="13"/>
        <v>13.470351531540981</v>
      </c>
      <c r="S128" s="9"/>
      <c r="T128" s="20">
        <f t="shared" si="14"/>
        <v>13.203157837652338</v>
      </c>
      <c r="U128" s="11">
        <f t="shared" si="11"/>
        <v>12.572351531540981</v>
      </c>
      <c r="V128" s="9"/>
      <c r="W128" s="11">
        <f t="shared" si="15"/>
        <v>0.73557192641088776</v>
      </c>
      <c r="Y128" s="9">
        <f t="shared" si="10"/>
        <v>0.63080630611135646</v>
      </c>
    </row>
    <row r="129" spans="1:25" x14ac:dyDescent="0.2">
      <c r="A129" s="11" t="s">
        <v>305</v>
      </c>
      <c r="B129" t="s">
        <v>243</v>
      </c>
      <c r="C129" t="s">
        <v>85</v>
      </c>
      <c r="D129">
        <v>244.67348083511399</v>
      </c>
      <c r="E129" s="11">
        <v>289.29126965817602</v>
      </c>
      <c r="F129" s="9">
        <v>592.20840826027302</v>
      </c>
      <c r="G129">
        <v>62.719378446439599</v>
      </c>
      <c r="H129" s="11">
        <v>9.4421919178615799</v>
      </c>
      <c r="I129" s="9">
        <v>542.46227310594998</v>
      </c>
      <c r="J129">
        <v>44.331254816133097</v>
      </c>
      <c r="K129">
        <v>12.2365648199187</v>
      </c>
      <c r="L129">
        <v>1.0917043223476</v>
      </c>
      <c r="M129" s="11"/>
      <c r="N129" s="9"/>
      <c r="P129" s="11"/>
      <c r="Q129" s="20">
        <f t="shared" si="12"/>
        <v>14.383315599506094</v>
      </c>
      <c r="R129" s="11">
        <f t="shared" si="13"/>
        <v>13.517987860202057</v>
      </c>
      <c r="S129" s="9"/>
      <c r="T129" s="20">
        <f t="shared" si="14"/>
        <v>12.221315599506095</v>
      </c>
      <c r="U129" s="11">
        <f t="shared" si="11"/>
        <v>12.619987860202057</v>
      </c>
      <c r="V129" s="9"/>
      <c r="W129" s="9">
        <f t="shared" si="15"/>
        <v>0.78320825507196368</v>
      </c>
      <c r="X129" s="9"/>
      <c r="Y129" s="9">
        <f t="shared" si="10"/>
        <v>-0.39867226069596207</v>
      </c>
    </row>
    <row r="130" spans="1:25" x14ac:dyDescent="0.2">
      <c r="A130" s="11" t="s">
        <v>306</v>
      </c>
      <c r="B130" t="s">
        <v>328</v>
      </c>
      <c r="C130" s="19"/>
      <c r="D130" s="19"/>
      <c r="E130" s="21"/>
      <c r="F130" s="22">
        <v>316.37964116107599</v>
      </c>
      <c r="G130" s="19"/>
      <c r="H130" s="21">
        <v>3.88014344919086</v>
      </c>
      <c r="I130" s="22">
        <v>2082.2109441290399</v>
      </c>
      <c r="J130" s="19"/>
      <c r="K130" s="19">
        <v>30.3361559611836</v>
      </c>
      <c r="L130" s="19"/>
      <c r="M130" s="21"/>
      <c r="N130" s="22"/>
      <c r="O130" s="19"/>
      <c r="P130" s="21"/>
      <c r="Q130" s="8">
        <f t="shared" si="12"/>
        <v>15.063980699845171</v>
      </c>
      <c r="R130" s="11">
        <f t="shared" si="13"/>
        <v>12.057599896879809</v>
      </c>
      <c r="S130" s="9"/>
      <c r="T130" s="8">
        <f t="shared" si="14"/>
        <v>12.901980699845172</v>
      </c>
      <c r="U130" s="11">
        <f t="shared" si="11"/>
        <v>11.15959989687981</v>
      </c>
      <c r="V130" s="9"/>
      <c r="W130" s="9">
        <f t="shared" si="15"/>
        <v>-0.67717970825028395</v>
      </c>
      <c r="X130" s="9"/>
      <c r="Y130" s="9">
        <f t="shared" si="10"/>
        <v>1.7423808029653625</v>
      </c>
    </row>
    <row r="131" spans="1:25" x14ac:dyDescent="0.2">
      <c r="A131" s="11" t="s">
        <v>307</v>
      </c>
      <c r="B131" t="s">
        <v>329</v>
      </c>
      <c r="C131" s="19"/>
      <c r="D131" s="19"/>
      <c r="E131" s="21"/>
      <c r="F131" s="22">
        <v>196.956402382172</v>
      </c>
      <c r="G131" s="19"/>
      <c r="H131" s="21">
        <v>2.4209062515576001</v>
      </c>
      <c r="I131" s="22">
        <v>2796.71711524591</v>
      </c>
      <c r="J131" s="19"/>
      <c r="K131" s="19">
        <v>38.032683248403302</v>
      </c>
      <c r="L131" s="19"/>
      <c r="M131" s="21"/>
      <c r="N131" s="22"/>
      <c r="O131" s="19"/>
      <c r="P131" s="21"/>
      <c r="Q131" s="8">
        <f t="shared" si="12"/>
        <v>15.578576765663184</v>
      </c>
      <c r="R131" s="11">
        <f t="shared" si="13"/>
        <v>11.737290358391384</v>
      </c>
      <c r="S131" s="9"/>
      <c r="T131" s="8">
        <f t="shared" si="14"/>
        <v>13.416576765663184</v>
      </c>
      <c r="U131" s="11">
        <f t="shared" si="11"/>
        <v>10.839290358391384</v>
      </c>
      <c r="V131" s="9"/>
      <c r="W131" s="9">
        <f t="shared" si="15"/>
        <v>-0.99748924673870931</v>
      </c>
      <c r="X131" s="9"/>
      <c r="Y131" s="9">
        <f t="shared" ref="Y131:Y151" si="16">T131-U131</f>
        <v>2.5772864072717994</v>
      </c>
    </row>
    <row r="132" spans="1:25" x14ac:dyDescent="0.2">
      <c r="A132" s="11" t="s">
        <v>308</v>
      </c>
      <c r="B132" t="s">
        <v>330</v>
      </c>
      <c r="C132" s="19"/>
      <c r="D132" s="19"/>
      <c r="E132" s="21"/>
      <c r="F132" s="22">
        <v>134.87586572955399</v>
      </c>
      <c r="G132" s="19"/>
      <c r="H132" s="21">
        <v>1.7123378882139699</v>
      </c>
      <c r="I132" s="24">
        <v>1312.7361634067399</v>
      </c>
      <c r="J132" s="19"/>
      <c r="K132" s="19">
        <v>21.036258180629101</v>
      </c>
      <c r="L132" s="19"/>
      <c r="M132" s="21"/>
      <c r="N132" s="22"/>
      <c r="O132" s="19"/>
      <c r="P132" s="21"/>
      <c r="Q132" s="8">
        <f t="shared" si="12"/>
        <v>15.98966640940821</v>
      </c>
      <c r="R132" s="11">
        <f t="shared" si="13"/>
        <v>12.558468085386624</v>
      </c>
      <c r="S132" s="9"/>
      <c r="T132" s="20">
        <f t="shared" si="14"/>
        <v>13.827666409408209</v>
      </c>
      <c r="U132" s="11">
        <f t="shared" ref="U132:U151" si="17">R132-$N$13</f>
        <v>11.660468085386624</v>
      </c>
      <c r="V132" s="9"/>
      <c r="W132" s="9">
        <f t="shared" si="15"/>
        <v>-0.1763115197434697</v>
      </c>
      <c r="X132" s="9"/>
      <c r="Y132" s="9">
        <f t="shared" si="16"/>
        <v>2.1671983240215855</v>
      </c>
    </row>
    <row r="133" spans="1:25" x14ac:dyDescent="0.2">
      <c r="A133" s="11" t="s">
        <v>309</v>
      </c>
      <c r="B133" t="s">
        <v>331</v>
      </c>
      <c r="C133" s="19"/>
      <c r="D133" s="19"/>
      <c r="E133" s="21"/>
      <c r="F133" s="22">
        <v>663.54364827741301</v>
      </c>
      <c r="G133" s="19"/>
      <c r="H133" s="21">
        <v>7.9677076554097299</v>
      </c>
      <c r="I133" s="22">
        <v>718.65459079182904</v>
      </c>
      <c r="J133" s="19"/>
      <c r="K133" s="19">
        <v>12.427921045298801</v>
      </c>
      <c r="L133" s="19"/>
      <c r="M133" s="21"/>
      <c r="N133" s="22"/>
      <c r="O133" s="19"/>
      <c r="P133" s="21"/>
      <c r="Q133" s="8">
        <f t="shared" ref="Q133:Q151" si="18">$N$7-2.5*LOG10(F133)</f>
        <v>14.259828281994306</v>
      </c>
      <c r="R133" s="11">
        <f t="shared" ref="R133:R151" si="19">$N$4-2.5*LOG10(I133)</f>
        <v>13.212611198362872</v>
      </c>
      <c r="S133" s="9"/>
      <c r="T133" s="20">
        <f t="shared" ref="T133:T151" si="20">Q133-$N$10</f>
        <v>12.097828281994307</v>
      </c>
      <c r="U133" s="11">
        <f t="shared" si="17"/>
        <v>12.314611198362872</v>
      </c>
      <c r="V133" s="9"/>
      <c r="W133" s="11">
        <f t="shared" ref="W133:W151" si="21">U133-$N$19</f>
        <v>0.47783159323277857</v>
      </c>
      <c r="X133" s="9"/>
      <c r="Y133" s="9">
        <f t="shared" si="16"/>
        <v>-0.21678291636856528</v>
      </c>
    </row>
    <row r="134" spans="1:25" x14ac:dyDescent="0.2">
      <c r="A134" s="11" t="s">
        <v>310</v>
      </c>
      <c r="B134" t="s">
        <v>332</v>
      </c>
      <c r="C134" s="19"/>
      <c r="D134" s="19"/>
      <c r="E134" s="21"/>
      <c r="F134" s="22">
        <v>1115.4969885565899</v>
      </c>
      <c r="G134" s="19"/>
      <c r="H134" s="23">
        <v>13.0296722150542</v>
      </c>
      <c r="I134" s="22">
        <v>984.34423155248896</v>
      </c>
      <c r="J134" s="19"/>
      <c r="K134" s="19">
        <v>16.406606582980199</v>
      </c>
      <c r="L134" s="19"/>
      <c r="M134" s="21"/>
      <c r="N134" s="22"/>
      <c r="O134" s="19"/>
      <c r="P134" s="21"/>
      <c r="Q134" s="8">
        <f t="shared" si="18"/>
        <v>13.695831017234067</v>
      </c>
      <c r="R134" s="11">
        <f t="shared" si="19"/>
        <v>12.871044207426378</v>
      </c>
      <c r="S134" s="9"/>
      <c r="T134" s="20">
        <f t="shared" si="20"/>
        <v>11.533831017234068</v>
      </c>
      <c r="U134" s="11">
        <f t="shared" si="17"/>
        <v>11.973044207426378</v>
      </c>
      <c r="V134" s="9"/>
      <c r="W134" s="11">
        <f t="shared" si="21"/>
        <v>0.13626460229628456</v>
      </c>
      <c r="X134" s="9"/>
      <c r="Y134" s="9">
        <f t="shared" si="16"/>
        <v>-0.43921319019231042</v>
      </c>
    </row>
    <row r="135" spans="1:25" x14ac:dyDescent="0.2">
      <c r="A135" s="11" t="s">
        <v>311</v>
      </c>
      <c r="B135" t="s">
        <v>333</v>
      </c>
      <c r="C135" s="19"/>
      <c r="D135" s="19"/>
      <c r="E135" s="21"/>
      <c r="F135" s="22">
        <v>780.88293350902495</v>
      </c>
      <c r="G135" s="19"/>
      <c r="H135" s="21">
        <v>9.2035434235152902</v>
      </c>
      <c r="I135" s="22">
        <v>1272.4310694112401</v>
      </c>
      <c r="J135" s="19"/>
      <c r="K135" s="19">
        <v>20.140626098689399</v>
      </c>
      <c r="L135" s="19"/>
      <c r="M135" s="21"/>
      <c r="N135" s="22"/>
      <c r="O135" s="19"/>
      <c r="P135" s="21"/>
      <c r="Q135" s="8">
        <f t="shared" si="18"/>
        <v>14.08303719453037</v>
      </c>
      <c r="R135" s="11">
        <f t="shared" si="19"/>
        <v>12.592326046665253</v>
      </c>
      <c r="S135" s="9"/>
      <c r="T135" s="8">
        <f t="shared" si="20"/>
        <v>11.921037194530371</v>
      </c>
      <c r="U135" s="11">
        <f t="shared" si="17"/>
        <v>11.694326046665253</v>
      </c>
      <c r="V135" s="9"/>
      <c r="W135" s="9">
        <f t="shared" si="21"/>
        <v>-0.14245355846484031</v>
      </c>
      <c r="X135" s="9"/>
      <c r="Y135" s="9">
        <f t="shared" si="16"/>
        <v>0.22671114786511737</v>
      </c>
    </row>
    <row r="136" spans="1:25" x14ac:dyDescent="0.2">
      <c r="A136" s="11" t="s">
        <v>312</v>
      </c>
      <c r="B136" t="s">
        <v>334</v>
      </c>
      <c r="C136" s="19"/>
      <c r="D136" s="19"/>
      <c r="E136" s="21"/>
      <c r="F136" s="22">
        <v>3094.0802364313499</v>
      </c>
      <c r="G136" s="19"/>
      <c r="H136" s="21">
        <v>31.910669507125899</v>
      </c>
      <c r="I136" s="22">
        <v>2766.3681567738499</v>
      </c>
      <c r="J136" s="19"/>
      <c r="K136" s="19">
        <v>37.6396514043916</v>
      </c>
      <c r="L136" s="19"/>
      <c r="M136" s="21"/>
      <c r="N136" s="22"/>
      <c r="O136" s="19"/>
      <c r="P136" s="21"/>
      <c r="Q136" s="8">
        <f t="shared" si="18"/>
        <v>12.588173093342428</v>
      </c>
      <c r="R136" s="11">
        <f t="shared" si="19"/>
        <v>11.749136766733322</v>
      </c>
      <c r="S136" s="9"/>
      <c r="T136" s="8">
        <f t="shared" si="20"/>
        <v>10.426173093342427</v>
      </c>
      <c r="U136" s="11">
        <f t="shared" si="17"/>
        <v>10.851136766733323</v>
      </c>
      <c r="V136" s="9"/>
      <c r="W136" s="9">
        <f t="shared" si="21"/>
        <v>-0.98564283839677103</v>
      </c>
      <c r="X136" s="9"/>
      <c r="Y136" s="9">
        <f t="shared" si="16"/>
        <v>-0.42496367339089502</v>
      </c>
    </row>
    <row r="137" spans="1:25" x14ac:dyDescent="0.2">
      <c r="A137" s="11" t="s">
        <v>313</v>
      </c>
      <c r="B137" t="s">
        <v>335</v>
      </c>
      <c r="C137" s="19"/>
      <c r="D137" s="19"/>
      <c r="E137" s="21"/>
      <c r="F137" s="22">
        <v>875.26281003622103</v>
      </c>
      <c r="G137" s="19"/>
      <c r="H137" s="21">
        <v>10.3233978454309</v>
      </c>
      <c r="I137" s="22">
        <v>1939.80986665825</v>
      </c>
      <c r="J137" s="19"/>
      <c r="K137" s="19">
        <v>28.666706578014399</v>
      </c>
      <c r="L137" s="19"/>
      <c r="M137" s="21"/>
      <c r="N137" s="22"/>
      <c r="O137" s="19"/>
      <c r="P137" s="21"/>
      <c r="Q137" s="8">
        <f t="shared" si="18"/>
        <v>13.959155833528564</v>
      </c>
      <c r="R137" s="11">
        <f t="shared" si="19"/>
        <v>12.1345137988963</v>
      </c>
      <c r="S137" s="9"/>
      <c r="T137" s="20">
        <f t="shared" si="20"/>
        <v>11.797155833528564</v>
      </c>
      <c r="U137" s="11">
        <f t="shared" si="17"/>
        <v>11.236513798896301</v>
      </c>
      <c r="V137" s="9"/>
      <c r="W137" s="9">
        <f t="shared" si="21"/>
        <v>-0.60026580623379289</v>
      </c>
      <c r="X137" s="9"/>
      <c r="Y137" s="9">
        <f t="shared" si="16"/>
        <v>0.56064203463226292</v>
      </c>
    </row>
    <row r="138" spans="1:25" x14ac:dyDescent="0.2">
      <c r="A138" s="11" t="s">
        <v>314</v>
      </c>
      <c r="B138" t="s">
        <v>336</v>
      </c>
      <c r="C138" s="19"/>
      <c r="D138" s="19"/>
      <c r="E138" s="21"/>
      <c r="F138" s="22">
        <v>1512.7355262802701</v>
      </c>
      <c r="G138" s="19"/>
      <c r="H138" s="21">
        <v>17.023919194527199</v>
      </c>
      <c r="I138" s="22">
        <v>1418.8992057406699</v>
      </c>
      <c r="J138" s="19"/>
      <c r="K138" s="19">
        <v>22.259605982307701</v>
      </c>
      <c r="L138" s="19"/>
      <c r="M138" s="21"/>
      <c r="N138" s="22"/>
      <c r="O138" s="19"/>
      <c r="P138" s="21"/>
      <c r="Q138" s="8">
        <f t="shared" si="18"/>
        <v>13.365094506854867</v>
      </c>
      <c r="R138" s="11">
        <f t="shared" si="19"/>
        <v>12.47403284488805</v>
      </c>
      <c r="S138" s="9"/>
      <c r="T138" s="20">
        <f t="shared" si="20"/>
        <v>11.203094506854868</v>
      </c>
      <c r="U138" s="11">
        <f t="shared" si="17"/>
        <v>11.576032844888051</v>
      </c>
      <c r="V138" s="9"/>
      <c r="W138" s="9">
        <f t="shared" si="21"/>
        <v>-0.2607467602420428</v>
      </c>
      <c r="X138" s="9"/>
      <c r="Y138" s="9">
        <f t="shared" si="16"/>
        <v>-0.37293833803318321</v>
      </c>
    </row>
    <row r="139" spans="1:25" x14ac:dyDescent="0.2">
      <c r="A139" s="11" t="s">
        <v>315</v>
      </c>
      <c r="B139" t="s">
        <v>337</v>
      </c>
      <c r="C139" s="19"/>
      <c r="D139" s="19"/>
      <c r="E139" s="21"/>
      <c r="F139" s="22">
        <v>745.72055629938495</v>
      </c>
      <c r="G139" s="19"/>
      <c r="H139" s="21">
        <v>8.8857155895742395</v>
      </c>
      <c r="I139" s="22">
        <v>697.27102965264396</v>
      </c>
      <c r="J139" s="19"/>
      <c r="K139" s="19">
        <v>12.1233374932769</v>
      </c>
      <c r="L139" s="19"/>
      <c r="M139" s="21"/>
      <c r="N139" s="22"/>
      <c r="O139" s="19"/>
      <c r="P139" s="21"/>
      <c r="Q139" s="8">
        <f t="shared" si="18"/>
        <v>14.133061735484299</v>
      </c>
      <c r="R139" s="11">
        <f t="shared" si="19"/>
        <v>13.245407655314029</v>
      </c>
      <c r="S139" s="9"/>
      <c r="T139" s="20">
        <f t="shared" si="20"/>
        <v>11.971061735484298</v>
      </c>
      <c r="U139" s="11">
        <f t="shared" si="17"/>
        <v>12.347407655314029</v>
      </c>
      <c r="V139" s="9"/>
      <c r="W139" s="11">
        <f t="shared" si="21"/>
        <v>0.51062805018393576</v>
      </c>
      <c r="X139" s="9"/>
      <c r="Y139" s="9">
        <f t="shared" si="16"/>
        <v>-0.3763459198297312</v>
      </c>
    </row>
    <row r="140" spans="1:25" x14ac:dyDescent="0.2">
      <c r="A140" s="11" t="s">
        <v>316</v>
      </c>
      <c r="B140" t="s">
        <v>338</v>
      </c>
      <c r="C140" s="19"/>
      <c r="D140" s="19"/>
      <c r="E140" s="21"/>
      <c r="F140" s="22">
        <v>402.79118069182999</v>
      </c>
      <c r="G140" s="19"/>
      <c r="H140" s="21">
        <v>4.8597741319199903</v>
      </c>
      <c r="I140" s="22">
        <v>1041.27443398796</v>
      </c>
      <c r="J140" s="19"/>
      <c r="K140" s="19">
        <v>17.0150465063086</v>
      </c>
      <c r="L140" s="19"/>
      <c r="M140" s="21"/>
      <c r="N140" s="22"/>
      <c r="O140" s="19"/>
      <c r="P140" s="21"/>
      <c r="Q140" s="8">
        <f t="shared" si="18"/>
        <v>14.801802140444092</v>
      </c>
      <c r="R140" s="11">
        <f t="shared" si="19"/>
        <v>12.809998695252123</v>
      </c>
      <c r="S140" s="9"/>
      <c r="T140" s="8">
        <f t="shared" si="20"/>
        <v>12.639802140444093</v>
      </c>
      <c r="U140" s="11">
        <f t="shared" si="17"/>
        <v>11.911998695252123</v>
      </c>
      <c r="V140" s="9"/>
      <c r="W140" s="11">
        <f t="shared" si="21"/>
        <v>7.5219090122029542E-2</v>
      </c>
      <c r="X140" s="9"/>
      <c r="Y140" s="9">
        <f t="shared" si="16"/>
        <v>0.72780344519197016</v>
      </c>
    </row>
    <row r="141" spans="1:25" x14ac:dyDescent="0.2">
      <c r="A141" s="11" t="s">
        <v>317</v>
      </c>
      <c r="B141" t="s">
        <v>339</v>
      </c>
      <c r="C141" s="19"/>
      <c r="D141" s="19"/>
      <c r="E141" s="21"/>
      <c r="F141" s="22">
        <v>1611.68312345917</v>
      </c>
      <c r="G141" s="19"/>
      <c r="H141" s="21">
        <v>18.115239135662701</v>
      </c>
      <c r="I141" s="22">
        <v>1701.7684975792099</v>
      </c>
      <c r="J141" s="19"/>
      <c r="K141" s="19">
        <v>25.965497216647201</v>
      </c>
      <c r="L141" s="19"/>
      <c r="M141" s="21"/>
      <c r="N141" s="22"/>
      <c r="O141" s="19"/>
      <c r="P141" s="21"/>
      <c r="Q141" s="20">
        <f t="shared" si="18"/>
        <v>13.296302877000331</v>
      </c>
      <c r="R141" s="11">
        <f t="shared" si="19"/>
        <v>12.276660509095034</v>
      </c>
      <c r="S141" s="9"/>
      <c r="T141" s="8">
        <f t="shared" si="20"/>
        <v>11.13430287700033</v>
      </c>
      <c r="U141" s="11">
        <f t="shared" si="17"/>
        <v>11.378660509095035</v>
      </c>
      <c r="V141" s="9"/>
      <c r="W141" s="9">
        <f t="shared" si="21"/>
        <v>-0.45811909603505896</v>
      </c>
      <c r="X141" s="9"/>
      <c r="Y141" s="9">
        <f t="shared" si="16"/>
        <v>-0.24435763209470451</v>
      </c>
    </row>
    <row r="142" spans="1:25" x14ac:dyDescent="0.2">
      <c r="A142" s="11" t="s">
        <v>318</v>
      </c>
      <c r="B142" t="s">
        <v>340</v>
      </c>
      <c r="C142" s="19"/>
      <c r="D142" s="19"/>
      <c r="E142" s="21"/>
      <c r="F142" s="22">
        <v>316.15819510007901</v>
      </c>
      <c r="G142" s="19"/>
      <c r="H142" s="21">
        <v>5.1790224488061503</v>
      </c>
      <c r="I142" s="22">
        <v>1755.3044776536899</v>
      </c>
      <c r="J142" s="19"/>
      <c r="K142" s="19">
        <v>31.175443682563301</v>
      </c>
      <c r="L142" s="19"/>
      <c r="M142" s="21"/>
      <c r="N142" s="22"/>
      <c r="O142" s="19"/>
      <c r="P142" s="21"/>
      <c r="Q142" s="8">
        <f t="shared" si="18"/>
        <v>15.064740913707062</v>
      </c>
      <c r="R142" s="11">
        <f t="shared" si="19"/>
        <v>12.243030557178857</v>
      </c>
      <c r="S142" s="9"/>
      <c r="T142" s="20">
        <f t="shared" si="20"/>
        <v>12.902740913707063</v>
      </c>
      <c r="U142" s="11">
        <f t="shared" si="17"/>
        <v>11.345030557178857</v>
      </c>
      <c r="V142" s="9"/>
      <c r="W142" s="9">
        <f t="shared" si="21"/>
        <v>-0.49174904795123631</v>
      </c>
      <c r="X142" s="9"/>
      <c r="Y142" s="9">
        <f t="shared" si="16"/>
        <v>1.5577103565282062</v>
      </c>
    </row>
    <row r="143" spans="1:25" x14ac:dyDescent="0.2">
      <c r="A143" s="11" t="s">
        <v>319</v>
      </c>
      <c r="B143" t="s">
        <v>341</v>
      </c>
      <c r="C143" s="19"/>
      <c r="D143" s="19"/>
      <c r="E143" s="21"/>
      <c r="F143" s="22">
        <v>175.53595951545901</v>
      </c>
      <c r="G143" s="19"/>
      <c r="H143" s="21">
        <v>2.93415476187938</v>
      </c>
      <c r="I143" s="22">
        <v>564.34309173987197</v>
      </c>
      <c r="J143" s="19"/>
      <c r="K143" s="19">
        <v>12.7976007376281</v>
      </c>
      <c r="L143" s="19"/>
      <c r="M143" s="21"/>
      <c r="N143" s="22"/>
      <c r="O143" s="19"/>
      <c r="P143" s="21"/>
      <c r="Q143" s="8">
        <f t="shared" si="18"/>
        <v>15.703586778811196</v>
      </c>
      <c r="R143" s="11">
        <f t="shared" si="19"/>
        <v>13.475053676118357</v>
      </c>
      <c r="S143" s="9"/>
      <c r="T143" s="20">
        <f t="shared" si="20"/>
        <v>13.541586778811197</v>
      </c>
      <c r="U143" s="11">
        <f t="shared" si="17"/>
        <v>12.577053676118357</v>
      </c>
      <c r="V143" s="9"/>
      <c r="W143" s="9">
        <f t="shared" si="21"/>
        <v>0.74027407098826359</v>
      </c>
      <c r="X143" s="9"/>
      <c r="Y143" s="9">
        <f t="shared" si="16"/>
        <v>0.96453310269284032</v>
      </c>
    </row>
    <row r="144" spans="1:25" x14ac:dyDescent="0.2">
      <c r="A144" s="11" t="s">
        <v>320</v>
      </c>
      <c r="B144" t="s">
        <v>342</v>
      </c>
      <c r="C144" s="19"/>
      <c r="D144" s="19"/>
      <c r="E144" s="21"/>
      <c r="F144" s="22">
        <v>374.56310040789901</v>
      </c>
      <c r="G144" s="19"/>
      <c r="H144" s="21">
        <v>6.1220368453191902</v>
      </c>
      <c r="I144" s="22">
        <v>352.67651391937801</v>
      </c>
      <c r="J144" s="19"/>
      <c r="K144" s="19">
        <v>8.35564629291245</v>
      </c>
      <c r="L144" s="19"/>
      <c r="M144" s="21"/>
      <c r="N144" s="22"/>
      <c r="O144" s="19"/>
      <c r="P144" s="21"/>
      <c r="Q144" s="8">
        <f t="shared" si="18"/>
        <v>14.880689544698365</v>
      </c>
      <c r="R144" s="11">
        <f t="shared" si="19"/>
        <v>13.985470360650845</v>
      </c>
      <c r="S144" s="9"/>
      <c r="T144" s="20">
        <f t="shared" si="20"/>
        <v>12.718689544698364</v>
      </c>
      <c r="U144" s="11">
        <f t="shared" si="17"/>
        <v>13.087470360650846</v>
      </c>
      <c r="V144" s="9"/>
      <c r="W144" s="9">
        <f t="shared" si="21"/>
        <v>1.2506907555207523</v>
      </c>
      <c r="X144" s="9"/>
      <c r="Y144" s="9">
        <f t="shared" si="16"/>
        <v>-0.36878081595248169</v>
      </c>
    </row>
    <row r="145" spans="1:25" x14ac:dyDescent="0.2">
      <c r="A145" s="11" t="s">
        <v>321</v>
      </c>
      <c r="B145" t="s">
        <v>343</v>
      </c>
      <c r="C145" s="19"/>
      <c r="D145" s="19"/>
      <c r="E145" s="21"/>
      <c r="F145" s="22">
        <v>156.632137135796</v>
      </c>
      <c r="G145" s="19"/>
      <c r="H145" s="21">
        <v>2.52029922981162</v>
      </c>
      <c r="I145" s="22">
        <v>1129.5353134055099</v>
      </c>
      <c r="J145" s="19"/>
      <c r="K145" s="19">
        <v>21.693309377453101</v>
      </c>
      <c r="L145" s="19"/>
      <c r="M145" s="21"/>
      <c r="N145" s="22"/>
      <c r="O145" s="19"/>
      <c r="P145" s="21"/>
      <c r="Q145" s="8">
        <f t="shared" si="18"/>
        <v>15.827299838650736</v>
      </c>
      <c r="R145" s="11">
        <f t="shared" si="19"/>
        <v>12.721662176135467</v>
      </c>
      <c r="S145" s="9"/>
      <c r="T145" s="8">
        <f t="shared" si="20"/>
        <v>13.665299838650736</v>
      </c>
      <c r="U145" s="11">
        <f t="shared" si="17"/>
        <v>11.823662176135468</v>
      </c>
      <c r="V145" s="9"/>
      <c r="W145" s="11">
        <f t="shared" si="21"/>
        <v>-1.3117428994625868E-2</v>
      </c>
      <c r="X145" s="9"/>
      <c r="Y145" s="9">
        <f t="shared" si="16"/>
        <v>1.8416376625152679</v>
      </c>
    </row>
    <row r="146" spans="1:25" x14ac:dyDescent="0.2">
      <c r="A146" s="11" t="s">
        <v>322</v>
      </c>
      <c r="B146" t="s">
        <v>344</v>
      </c>
      <c r="C146" s="19"/>
      <c r="D146" s="19"/>
      <c r="E146" s="21"/>
      <c r="F146" s="22">
        <v>207.91155472177601</v>
      </c>
      <c r="G146" s="19"/>
      <c r="H146" s="21">
        <v>3.4852542214077502</v>
      </c>
      <c r="I146" s="22">
        <v>1201.7349697519901</v>
      </c>
      <c r="J146" s="19"/>
      <c r="K146" s="19">
        <v>23.451750405575201</v>
      </c>
      <c r="L146" s="19"/>
      <c r="M146" s="21"/>
      <c r="N146" s="22"/>
      <c r="O146" s="19"/>
      <c r="P146" s="21"/>
      <c r="Q146" s="8">
        <f t="shared" si="18"/>
        <v>15.519805457698867</v>
      </c>
      <c r="R146" s="11">
        <f t="shared" si="19"/>
        <v>12.654389961242675</v>
      </c>
      <c r="S146" s="9"/>
      <c r="T146" s="8">
        <f t="shared" si="20"/>
        <v>13.357805457698866</v>
      </c>
      <c r="U146" s="11">
        <f t="shared" si="17"/>
        <v>11.756389961242675</v>
      </c>
      <c r="V146" s="9"/>
      <c r="W146" s="11">
        <f t="shared" si="21"/>
        <v>-8.0389643887418316E-2</v>
      </c>
      <c r="X146" s="9"/>
      <c r="Y146" s="9">
        <f t="shared" si="16"/>
        <v>1.6014154964561911</v>
      </c>
    </row>
    <row r="147" spans="1:25" x14ac:dyDescent="0.2">
      <c r="A147" s="11" t="s">
        <v>323</v>
      </c>
      <c r="B147" t="s">
        <v>345</v>
      </c>
      <c r="C147" s="19"/>
      <c r="D147" s="19"/>
      <c r="E147" s="21"/>
      <c r="F147" s="22">
        <v>421.29108624717003</v>
      </c>
      <c r="G147" s="19"/>
      <c r="H147" s="21">
        <v>6.8202822444868003</v>
      </c>
      <c r="I147" s="22">
        <v>477.431943061612</v>
      </c>
      <c r="J147" s="19"/>
      <c r="K147" s="19">
        <v>10.922788494516</v>
      </c>
      <c r="L147" s="19"/>
      <c r="M147" s="21"/>
      <c r="N147" s="22"/>
      <c r="O147" s="19"/>
      <c r="P147" s="21"/>
      <c r="Q147" s="8">
        <f t="shared" si="18"/>
        <v>14.753046346830155</v>
      </c>
      <c r="R147" s="11">
        <f t="shared" si="19"/>
        <v>13.656633027518573</v>
      </c>
      <c r="S147" s="9"/>
      <c r="T147" s="20">
        <f t="shared" si="20"/>
        <v>12.591046346830154</v>
      </c>
      <c r="U147" s="11">
        <f t="shared" si="17"/>
        <v>12.758633027518574</v>
      </c>
      <c r="V147" s="9"/>
      <c r="W147" s="9">
        <f t="shared" si="21"/>
        <v>0.92185342238848023</v>
      </c>
      <c r="X147" s="9"/>
      <c r="Y147" s="9">
        <f t="shared" si="16"/>
        <v>-0.16758668068841942</v>
      </c>
    </row>
    <row r="148" spans="1:25" x14ac:dyDescent="0.2">
      <c r="A148" s="11" t="s">
        <v>324</v>
      </c>
      <c r="B148" t="s">
        <v>346</v>
      </c>
      <c r="C148" s="19"/>
      <c r="D148" s="19"/>
      <c r="E148" s="21"/>
      <c r="F148" s="22">
        <v>592.20840826027302</v>
      </c>
      <c r="G148" s="19"/>
      <c r="H148" s="21">
        <v>9.4421919178615799</v>
      </c>
      <c r="I148" s="22">
        <v>542.46227310594998</v>
      </c>
      <c r="J148" s="19"/>
      <c r="K148" s="19">
        <v>12.2365648199187</v>
      </c>
      <c r="L148" s="19"/>
      <c r="M148" s="21"/>
      <c r="N148" s="22"/>
      <c r="O148" s="19"/>
      <c r="P148" s="21"/>
      <c r="Q148" s="8">
        <f t="shared" si="18"/>
        <v>14.383315599506094</v>
      </c>
      <c r="R148" s="11">
        <f t="shared" si="19"/>
        <v>13.517987860202057</v>
      </c>
      <c r="S148" s="9"/>
      <c r="T148" s="20">
        <f t="shared" si="20"/>
        <v>12.221315599506095</v>
      </c>
      <c r="U148" s="11">
        <f t="shared" si="17"/>
        <v>12.619987860202057</v>
      </c>
      <c r="V148" s="9"/>
      <c r="W148" s="9">
        <f t="shared" si="21"/>
        <v>0.78320825507196368</v>
      </c>
      <c r="X148" s="9"/>
      <c r="Y148" s="9">
        <f t="shared" si="16"/>
        <v>-0.39867226069596207</v>
      </c>
    </row>
    <row r="149" spans="1:25" x14ac:dyDescent="0.2">
      <c r="A149" s="11" t="s">
        <v>325</v>
      </c>
      <c r="B149" t="s">
        <v>347</v>
      </c>
      <c r="C149" s="19"/>
      <c r="D149" s="19"/>
      <c r="E149" s="21"/>
      <c r="F149" s="22">
        <v>87.302564780310107</v>
      </c>
      <c r="G149" s="19"/>
      <c r="H149" s="21">
        <v>1.4836979330136599</v>
      </c>
      <c r="I149" s="22">
        <v>292.231232657448</v>
      </c>
      <c r="J149" s="19"/>
      <c r="K149" s="19">
        <v>7.0811546749597403</v>
      </c>
      <c r="L149" s="19"/>
      <c r="M149" s="21"/>
      <c r="N149" s="22"/>
      <c r="O149" s="19"/>
      <c r="P149" s="21"/>
      <c r="Q149" s="8">
        <f t="shared" si="18"/>
        <v>16.461934516127879</v>
      </c>
      <c r="R149" s="11">
        <f t="shared" si="19"/>
        <v>14.189595133986916</v>
      </c>
      <c r="S149" s="9"/>
      <c r="T149" s="20">
        <f t="shared" si="20"/>
        <v>14.29993451612788</v>
      </c>
      <c r="U149" s="11">
        <f t="shared" si="17"/>
        <v>13.291595133986917</v>
      </c>
      <c r="V149" s="9"/>
      <c r="W149" s="9">
        <f t="shared" si="21"/>
        <v>1.4548155288568232</v>
      </c>
      <c r="X149" s="9"/>
      <c r="Y149" s="9">
        <f t="shared" si="16"/>
        <v>1.0083393821409636</v>
      </c>
    </row>
    <row r="150" spans="1:25" x14ac:dyDescent="0.2">
      <c r="A150" s="11" t="s">
        <v>326</v>
      </c>
      <c r="B150" t="s">
        <v>348</v>
      </c>
      <c r="C150" s="19"/>
      <c r="D150" s="19"/>
      <c r="E150" s="21"/>
      <c r="F150" s="22">
        <v>123.941414605708</v>
      </c>
      <c r="G150" s="19"/>
      <c r="H150" s="21">
        <v>2.06748366748907</v>
      </c>
      <c r="I150" s="22">
        <v>313.99632168099998</v>
      </c>
      <c r="J150" s="19"/>
      <c r="K150" s="19">
        <v>7.5625509371957396</v>
      </c>
      <c r="L150" s="19"/>
      <c r="M150" s="21"/>
      <c r="N150" s="22"/>
      <c r="O150" s="19"/>
      <c r="P150" s="21"/>
      <c r="Q150" s="8">
        <f t="shared" si="18"/>
        <v>16.081460901029438</v>
      </c>
      <c r="R150" s="11">
        <f t="shared" si="19"/>
        <v>14.111600307522872</v>
      </c>
      <c r="S150" s="9"/>
      <c r="T150" s="8">
        <f t="shared" si="20"/>
        <v>13.919460901029439</v>
      </c>
      <c r="U150" s="11">
        <f t="shared" si="17"/>
        <v>13.213600307522873</v>
      </c>
      <c r="V150" s="9"/>
      <c r="W150" s="9">
        <f t="shared" si="21"/>
        <v>1.376820702392779</v>
      </c>
      <c r="X150" s="9"/>
      <c r="Y150" s="9">
        <f t="shared" si="16"/>
        <v>0.70586059350656605</v>
      </c>
    </row>
    <row r="151" spans="1:25" x14ac:dyDescent="0.2">
      <c r="A151" s="11" t="s">
        <v>327</v>
      </c>
      <c r="B151" t="s">
        <v>349</v>
      </c>
      <c r="C151" s="19"/>
      <c r="D151" s="19"/>
      <c r="E151" s="21"/>
      <c r="F151" s="22">
        <v>1069.49381029757</v>
      </c>
      <c r="G151" s="19"/>
      <c r="H151" s="21">
        <v>15.9822968681724</v>
      </c>
      <c r="I151" s="22">
        <v>1407.87201919112</v>
      </c>
      <c r="J151" s="19"/>
      <c r="K151" s="19">
        <v>26.379206043182201</v>
      </c>
      <c r="L151" s="19"/>
      <c r="M151" s="21"/>
      <c r="N151" s="22"/>
      <c r="O151" s="19"/>
      <c r="P151" s="21"/>
      <c r="Q151" s="8">
        <f t="shared" si="18"/>
        <v>13.741556334106084</v>
      </c>
      <c r="R151" s="11">
        <f t="shared" si="19"/>
        <v>12.482503764855107</v>
      </c>
      <c r="S151" s="9"/>
      <c r="T151" s="8">
        <f t="shared" si="20"/>
        <v>11.579556334106083</v>
      </c>
      <c r="U151" s="11">
        <f t="shared" si="17"/>
        <v>11.584503764855107</v>
      </c>
      <c r="V151" s="9"/>
      <c r="W151" s="11">
        <f t="shared" si="21"/>
        <v>-0.25227584027498651</v>
      </c>
      <c r="X151" s="9"/>
      <c r="Y151" s="9">
        <f t="shared" si="16"/>
        <v>-4.9474307490235958E-3</v>
      </c>
    </row>
    <row r="152" spans="1:25" x14ac:dyDescent="0.2">
      <c r="A152" s="20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</row>
    <row r="153" spans="1:25" x14ac:dyDescent="0.2"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</row>
    <row r="154" spans="1:25" x14ac:dyDescent="0.2"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B-band</vt:lpstr>
      <vt:lpstr>I-band</vt:lpstr>
      <vt:lpstr>Metingen Bas</vt:lpstr>
      <vt:lpstr>Opdracht-2-Data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Cools</dc:creator>
  <cp:lastModifiedBy>Tristan Cools</cp:lastModifiedBy>
  <dcterms:created xsi:type="dcterms:W3CDTF">2026-03-17T12:33:53Z</dcterms:created>
  <dcterms:modified xsi:type="dcterms:W3CDTF">2026-03-23T15:36:58Z</dcterms:modified>
</cp:coreProperties>
</file>